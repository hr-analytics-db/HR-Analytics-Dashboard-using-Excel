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vikb\Downloads\"/>
    </mc:Choice>
  </mc:AlternateContent>
  <xr:revisionPtr revIDLastSave="0" documentId="8_{4030745D-78B7-45FF-8EEE-3BEB438333A4}" xr6:coauthVersionLast="47" xr6:coauthVersionMax="47" xr10:uidLastSave="{00000000-0000-0000-0000-000000000000}"/>
  <bookViews>
    <workbookView xWindow="-21648" yWindow="-17388" windowWidth="30936" windowHeight="16776" tabRatio="500" xr2:uid="{00000000-000D-0000-FFFF-FFFF00000000}"/>
  </bookViews>
  <sheets>
    <sheet name="HR Dashboard" sheetId="1" r:id="rId1"/>
    <sheet name="Recruitment Pipeline" sheetId="2" r:id="rId2"/>
    <sheet name="Onboarding Tracker" sheetId="3" r:id="rId3"/>
    <sheet name="Attrition Data" sheetId="4" r:id="rId4"/>
    <sheet name="Monthly Trends" sheetId="5" r:id="rId5"/>
    <sheet name="Headcount &amp; Diversity" sheetId="6" r:id="rId6"/>
    <sheet name="L&amp;D Training Tracker" sheetId="7" r:id="rId7"/>
    <sheet name="Leave &amp; Absence" sheetId="8" r:id="rId8"/>
    <sheet name="Offer Acceptance Rat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1" l="1"/>
  <c r="B22" i="9"/>
  <c r="D21" i="9" s="1"/>
  <c r="B21" i="9"/>
  <c r="B20" i="9"/>
  <c r="B19" i="9"/>
  <c r="B18" i="9"/>
  <c r="B26" i="8"/>
  <c r="B25" i="8"/>
  <c r="D25" i="8" s="1"/>
  <c r="B24" i="8"/>
  <c r="J20" i="8"/>
  <c r="G20" i="8"/>
  <c r="D20" i="8"/>
  <c r="N19" i="8"/>
  <c r="M19" i="8"/>
  <c r="L19" i="8"/>
  <c r="I19" i="8"/>
  <c r="F19" i="8"/>
  <c r="N18" i="8"/>
  <c r="M18" i="8"/>
  <c r="L18" i="8"/>
  <c r="I18" i="8"/>
  <c r="F18" i="8"/>
  <c r="N17" i="8"/>
  <c r="M17" i="8"/>
  <c r="L17" i="8"/>
  <c r="I17" i="8"/>
  <c r="F17" i="8"/>
  <c r="N16" i="8"/>
  <c r="M16" i="8"/>
  <c r="L16" i="8"/>
  <c r="I16" i="8"/>
  <c r="F16" i="8"/>
  <c r="N15" i="8"/>
  <c r="M15" i="8"/>
  <c r="L15" i="8"/>
  <c r="I15" i="8"/>
  <c r="F15" i="8"/>
  <c r="N14" i="8"/>
  <c r="M14" i="8"/>
  <c r="L14" i="8"/>
  <c r="I14" i="8"/>
  <c r="F14" i="8"/>
  <c r="N13" i="8"/>
  <c r="M13" i="8"/>
  <c r="L13" i="8"/>
  <c r="I13" i="8"/>
  <c r="F13" i="8"/>
  <c r="N12" i="8"/>
  <c r="M12" i="8"/>
  <c r="L12" i="8"/>
  <c r="I12" i="8"/>
  <c r="F12" i="8"/>
  <c r="N11" i="8"/>
  <c r="M11" i="8"/>
  <c r="L11" i="8"/>
  <c r="I11" i="8"/>
  <c r="F11" i="8"/>
  <c r="N10" i="8"/>
  <c r="M10" i="8"/>
  <c r="L10" i="8"/>
  <c r="I10" i="8"/>
  <c r="F10" i="8"/>
  <c r="N9" i="8"/>
  <c r="M9" i="8"/>
  <c r="L9" i="8"/>
  <c r="I9" i="8"/>
  <c r="F9" i="8"/>
  <c r="N8" i="8"/>
  <c r="M8" i="8"/>
  <c r="L8" i="8"/>
  <c r="I8" i="8"/>
  <c r="F8" i="8"/>
  <c r="N7" i="8"/>
  <c r="M7" i="8"/>
  <c r="L7" i="8"/>
  <c r="I7" i="8"/>
  <c r="F7" i="8"/>
  <c r="E20" i="8" s="1"/>
  <c r="N6" i="8"/>
  <c r="M6" i="8"/>
  <c r="M20" i="8" s="1"/>
  <c r="L6" i="8"/>
  <c r="I6" i="8"/>
  <c r="F6" i="8"/>
  <c r="N5" i="8"/>
  <c r="N20" i="8" s="1"/>
  <c r="M5" i="8"/>
  <c r="L5" i="8"/>
  <c r="K20" i="8" s="1"/>
  <c r="I5" i="8"/>
  <c r="C25" i="8" s="1"/>
  <c r="E25" i="8" s="1"/>
  <c r="F5" i="8"/>
  <c r="B29" i="7"/>
  <c r="B28" i="7"/>
  <c r="B27" i="7"/>
  <c r="D26" i="7"/>
  <c r="B26" i="7"/>
  <c r="B25" i="7"/>
  <c r="B24" i="7"/>
  <c r="B23" i="6"/>
  <c r="B22" i="6"/>
  <c r="B20" i="6"/>
  <c r="D20" i="6" s="1"/>
  <c r="B19" i="6"/>
  <c r="D19" i="6" s="1"/>
  <c r="I15" i="6"/>
  <c r="H15" i="6"/>
  <c r="G15" i="6"/>
  <c r="F15" i="6"/>
  <c r="E15" i="6"/>
  <c r="D15" i="6"/>
  <c r="C15" i="6"/>
  <c r="B15" i="6"/>
  <c r="F14" i="6"/>
  <c r="F13" i="6"/>
  <c r="F12" i="6"/>
  <c r="F11" i="6"/>
  <c r="F10" i="6"/>
  <c r="F9" i="6"/>
  <c r="F8" i="6"/>
  <c r="F7" i="6"/>
  <c r="F6" i="6"/>
  <c r="F5" i="6"/>
  <c r="N25" i="5"/>
  <c r="N24" i="5"/>
  <c r="N23" i="5"/>
  <c r="N22" i="5"/>
  <c r="N18" i="5"/>
  <c r="N17" i="5"/>
  <c r="N16" i="5"/>
  <c r="N15" i="5"/>
  <c r="N14" i="5"/>
  <c r="N10" i="5"/>
  <c r="N9" i="5"/>
  <c r="N8" i="5"/>
  <c r="N7" i="5"/>
  <c r="N6" i="5"/>
  <c r="N5" i="5"/>
  <c r="J25" i="4"/>
  <c r="H25" i="4"/>
  <c r="H42" i="1" s="1"/>
  <c r="F25" i="4"/>
  <c r="E42" i="1" s="1"/>
  <c r="D25" i="4"/>
  <c r="B25" i="4"/>
  <c r="J22" i="3"/>
  <c r="H22" i="3"/>
  <c r="H24" i="1" s="1"/>
  <c r="F22" i="3"/>
  <c r="E24" i="1" s="1"/>
  <c r="D22" i="3"/>
  <c r="B22" i="3"/>
  <c r="A24" i="1" s="1"/>
  <c r="J27" i="2"/>
  <c r="K6" i="1" s="1"/>
  <c r="H27" i="2"/>
  <c r="F27" i="2"/>
  <c r="D27" i="2"/>
  <c r="B27" i="2"/>
  <c r="L23" i="2"/>
  <c r="L22" i="2"/>
  <c r="L21" i="2"/>
  <c r="L19" i="2"/>
  <c r="L17" i="2"/>
  <c r="L16" i="2"/>
  <c r="L13" i="2"/>
  <c r="L11" i="2"/>
  <c r="L10" i="2"/>
  <c r="L9" i="2"/>
  <c r="L7" i="2"/>
  <c r="K42" i="1"/>
  <c r="D42" i="1"/>
  <c r="A42" i="1"/>
  <c r="K24" i="1"/>
  <c r="D24" i="1"/>
  <c r="H6" i="1"/>
  <c r="E6" i="1"/>
  <c r="D6" i="1"/>
  <c r="C24" i="8" l="1"/>
  <c r="C26" i="8"/>
  <c r="E26" i="8" s="1"/>
  <c r="H20" i="8"/>
  <c r="E24" i="8" l="1"/>
  <c r="D24" i="8"/>
  <c r="D26" i="8"/>
</calcChain>
</file>

<file path=xl/sharedStrings.xml><?xml version="1.0" encoding="utf-8"?>
<sst xmlns="http://schemas.openxmlformats.org/spreadsheetml/2006/main" count="1291" uniqueCount="568">
  <si>
    <t>🏢  HR ANALYTICS DASHBOARD  |  FY 2024-25</t>
  </si>
  <si>
    <t>Last Refreshed: June 2025   |   Data Sources: ATS · HRMS · Exit Records   |   For Internal HR Use Only</t>
  </si>
  <si>
    <t xml:space="preserve">  📌  SECTION A - RECRUITMENT PIPELINE SUMMARY</t>
  </si>
  <si>
    <t>Total Applications</t>
  </si>
  <si>
    <t>Positions Filled</t>
  </si>
  <si>
    <t>Rejections</t>
  </si>
  <si>
    <t>Open Positions</t>
  </si>
  <si>
    <t>Avg. Days to Close</t>
  </si>
  <si>
    <t>#</t>
  </si>
  <si>
    <t>(days)</t>
  </si>
  <si>
    <t xml:space="preserve">  Pipeline Stage Breakdown - Candidates by Stage</t>
  </si>
  <si>
    <t>Stage</t>
  </si>
  <si>
    <t>Count</t>
  </si>
  <si>
    <t>% of Total</t>
  </si>
  <si>
    <t>Notes / Action Required</t>
  </si>
  <si>
    <t>Screening</t>
  </si>
  <si>
    <t>Initial shortlist in progress</t>
  </si>
  <si>
    <t>Technical Round</t>
  </si>
  <si>
    <t>Assignments sent to 3 candidates</t>
  </si>
  <si>
    <t>HR Interview</t>
  </si>
  <si>
    <t>Scheduled for next week</t>
  </si>
  <si>
    <t>Final Round</t>
  </si>
  <si>
    <t>2 candidates - decision pending</t>
  </si>
  <si>
    <t>Offer Extended</t>
  </si>
  <si>
    <t>Awaiting candidate response</t>
  </si>
  <si>
    <t>Hired</t>
  </si>
  <si>
    <t>Target: 15 hires per quarter</t>
  </si>
  <si>
    <t>Rejected</t>
  </si>
  <si>
    <t>Primarily tech screen rejections</t>
  </si>
  <si>
    <t>Withdrawn</t>
  </si>
  <si>
    <t>Counter-offer cases</t>
  </si>
  <si>
    <t xml:space="preserve">  📌  SECTION B - ONBOARDING STATUS SUMMARY</t>
  </si>
  <si>
    <t>Total Onboarded</t>
  </si>
  <si>
    <t>Fully Complete</t>
  </si>
  <si>
    <t>In Progress</t>
  </si>
  <si>
    <t>Not Started</t>
  </si>
  <si>
    <t>Completion Rate</t>
  </si>
  <si>
    <t>(count)</t>
  </si>
  <si>
    <t>(rate)</t>
  </si>
  <si>
    <t xml:space="preserve">  Onboarding Checklist Completion - % Employees with Task Complete</t>
  </si>
  <si>
    <t>Onboarding Task</t>
  </si>
  <si>
    <t>Completed (of 15)</t>
  </si>
  <si>
    <t>Completion %</t>
  </si>
  <si>
    <t>Status</t>
  </si>
  <si>
    <t>IT Setup</t>
  </si>
  <si>
    <t>✅ On Track</t>
  </si>
  <si>
    <t>ID Card &amp; Access</t>
  </si>
  <si>
    <t>HR Induction</t>
  </si>
  <si>
    <t>Policy Orientation</t>
  </si>
  <si>
    <t>Tool Training</t>
  </si>
  <si>
    <t>30-Day Check-in</t>
  </si>
  <si>
    <t>60-Day Check-in</t>
  </si>
  <si>
    <t>🔄 In Progress</t>
  </si>
  <si>
    <t>90-Day Check-in</t>
  </si>
  <si>
    <t xml:space="preserve">  📌  SECTION C - ATTRITION &amp; EXIT SUMMARY</t>
  </si>
  <si>
    <t>Total Exits (FY)</t>
  </si>
  <si>
    <t>Voluntary</t>
  </si>
  <si>
    <t>Involuntary</t>
  </si>
  <si>
    <t>Avg. Tenure</t>
  </si>
  <si>
    <t>Exit Int. Done</t>
  </si>
  <si>
    <t>(#)</t>
  </si>
  <si>
    <t>(months)</t>
  </si>
  <si>
    <t xml:space="preserve">  Attrition by Department &amp; Primary Exit Reason</t>
  </si>
  <si>
    <t>Department</t>
  </si>
  <si>
    <t>Exits</t>
  </si>
  <si>
    <t>Top Reason</t>
  </si>
  <si>
    <t>Engineering</t>
  </si>
  <si>
    <t>Better Compensation / Growth</t>
  </si>
  <si>
    <t>Analytics</t>
  </si>
  <si>
    <t>Relocation / Better Opportunity</t>
  </si>
  <si>
    <t>Infrastructure</t>
  </si>
  <si>
    <t>Better Compensation / Restructuring</t>
  </si>
  <si>
    <t>Sales</t>
  </si>
  <si>
    <t>Career Change / Targets</t>
  </si>
  <si>
    <t>Design</t>
  </si>
  <si>
    <t>Better Opportunity / Manager Conflict</t>
  </si>
  <si>
    <t>AI/ML</t>
  </si>
  <si>
    <t>Better Compensation (FAANG)</t>
  </si>
  <si>
    <t>Human Resources</t>
  </si>
  <si>
    <t>Restructuring</t>
  </si>
  <si>
    <t>Finance</t>
  </si>
  <si>
    <t>Better Compensation</t>
  </si>
  <si>
    <t>Product</t>
  </si>
  <si>
    <t>Better Opportunity</t>
  </si>
  <si>
    <t xml:space="preserve">  📖  HOW TO USE THIS DASHBOARD</t>
  </si>
  <si>
    <t>1.</t>
  </si>
  <si>
    <t>Update data in Sheets 1, 2, 3 → All KPIs on this Dashboard auto-refresh via formulas.</t>
  </si>
  <si>
    <t>2.</t>
  </si>
  <si>
    <t>Use filters (Ctrl+Shift+L) on each data sheet to slice by Department, Stage, or Status.</t>
  </si>
  <si>
    <t>3.</t>
  </si>
  <si>
    <t>For Pivot Charts: select any data table → Insert → PivotChart for drill-down analysis.</t>
  </si>
  <si>
    <t>4.</t>
  </si>
  <si>
    <t>Color legend: 🟢 Green = On Track / Hired   🟡 Yellow = In Progress   🔴 Red = Action Needed</t>
  </si>
  <si>
    <t>5.</t>
  </si>
  <si>
    <t>Attrition Rate = Total Exits / Avg. Headcount × 100. Target: &lt;15% annually.</t>
  </si>
  <si>
    <t>HR Dashboard</t>
  </si>
  <si>
    <t>Recruitment Pipeline</t>
  </si>
  <si>
    <t>All candidate records, stage tracking, days-to-close</t>
  </si>
  <si>
    <t>Onboarding Tracker</t>
  </si>
  <si>
    <t>Employee onboarding checklist &amp; completion status</t>
  </si>
  <si>
    <t>Attrition Data</t>
  </si>
  <si>
    <t>Exit records, tenure, reasons, involuntary vs voluntary</t>
  </si>
  <si>
    <t>Monthly Trends</t>
  </si>
  <si>
    <t>Headcount &amp; Diversity</t>
  </si>
  <si>
    <t>L&amp;D Training Tracker</t>
  </si>
  <si>
    <t>Leave &amp; Absence</t>
  </si>
  <si>
    <t>Offer Acceptance Rate</t>
  </si>
  <si>
    <t>📋  Source: Applicant Tracking System (ATS) + Recruiter Sheets   |   Updated: June 2025</t>
  </si>
  <si>
    <t>Candidate ID</t>
  </si>
  <si>
    <t>Candidate Name</t>
  </si>
  <si>
    <t>Role / Position</t>
  </si>
  <si>
    <t>Source</t>
  </si>
  <si>
    <t>Date Applied</t>
  </si>
  <si>
    <t>Current Stage</t>
  </si>
  <si>
    <t>Interviewer / Owner</t>
  </si>
  <si>
    <t>Interview Date</t>
  </si>
  <si>
    <t>Offer Date</t>
  </si>
  <si>
    <t>Date Closed</t>
  </si>
  <si>
    <t>Days to Close</t>
  </si>
  <si>
    <t>Notes</t>
  </si>
  <si>
    <t>REC001</t>
  </si>
  <si>
    <t>Arjun Mehta</t>
  </si>
  <si>
    <t>Senior Backend Engineer</t>
  </si>
  <si>
    <t>LinkedIn</t>
  </si>
  <si>
    <t>Priya Sharma</t>
  </si>
  <si>
    <t>Closed</t>
  </si>
  <si>
    <t>Joined Feb 1</t>
  </si>
  <si>
    <t>REC002</t>
  </si>
  <si>
    <t>Sneha Rao</t>
  </si>
  <si>
    <t>Data Analyst</t>
  </si>
  <si>
    <t>Naukri</t>
  </si>
  <si>
    <t>Rahul Nair</t>
  </si>
  <si>
    <t>Strong SQL skills</t>
  </si>
  <si>
    <t>REC003</t>
  </si>
  <si>
    <t>Vikram Iyer</t>
  </si>
  <si>
    <t>DevOps Engineer</t>
  </si>
  <si>
    <t>Referral (Internal)</t>
  </si>
  <si>
    <t>Anil Kumar</t>
  </si>
  <si>
    <t>Failed system design</t>
  </si>
  <si>
    <t>REC004</t>
  </si>
  <si>
    <t>Pooja Krishnan</t>
  </si>
  <si>
    <t>Product Manager</t>
  </si>
  <si>
    <t>Deepa Menon</t>
  </si>
  <si>
    <t>Strong candidate</t>
  </si>
  <si>
    <t>REC005</t>
  </si>
  <si>
    <t>Ravi Gupta</t>
  </si>
  <si>
    <t>QA Engineer</t>
  </si>
  <si>
    <t>Quality Assurance</t>
  </si>
  <si>
    <t>Indeed</t>
  </si>
  <si>
    <t>Karan Malhotra</t>
  </si>
  <si>
    <t>Automation expertise</t>
  </si>
  <si>
    <t>REC006</t>
  </si>
  <si>
    <t>Ananya Singh</t>
  </si>
  <si>
    <t>UX Designer</t>
  </si>
  <si>
    <t>Dribbble</t>
  </si>
  <si>
    <t>Sunita Patel</t>
  </si>
  <si>
    <t>Portfolio impressive</t>
  </si>
  <si>
    <t>REC007</t>
  </si>
  <si>
    <t>Karthik Suresh</t>
  </si>
  <si>
    <t>Cloud Architect</t>
  </si>
  <si>
    <t>AWS certified</t>
  </si>
  <si>
    <t>REC008</t>
  </si>
  <si>
    <t>Meera Pillai</t>
  </si>
  <si>
    <t>HR Business Partner</t>
  </si>
  <si>
    <t>Divya Nambiar</t>
  </si>
  <si>
    <t>Screening scheduled Feb 28</t>
  </si>
  <si>
    <t>REC009</t>
  </si>
  <si>
    <t>Suresh Babu</t>
  </si>
  <si>
    <t>Mobile Developer (iOS)</t>
  </si>
  <si>
    <t>AngelList</t>
  </si>
  <si>
    <t>No SwiftUI exp.</t>
  </si>
  <si>
    <t>REC010</t>
  </si>
  <si>
    <t>Lakshmi Nair</t>
  </si>
  <si>
    <t>Finance Analyst</t>
  </si>
  <si>
    <t>Referral (External)</t>
  </si>
  <si>
    <t>CA qualified</t>
  </si>
  <si>
    <t>REC011</t>
  </si>
  <si>
    <t>Rohit Verma</t>
  </si>
  <si>
    <t>Senior Frontend Engineer</t>
  </si>
  <si>
    <t>React/Next.js expert</t>
  </si>
  <si>
    <t>REC012</t>
  </si>
  <si>
    <t>Divya Krishnaswamy</t>
  </si>
  <si>
    <t>Scrum Master</t>
  </si>
  <si>
    <t>Accepted counter-offer</t>
  </si>
  <si>
    <t>REC013</t>
  </si>
  <si>
    <t>Sanjay Thakur</t>
  </si>
  <si>
    <t>ML Engineer</t>
  </si>
  <si>
    <t>PhD - NLP focus</t>
  </si>
  <si>
    <t>REC014</t>
  </si>
  <si>
    <t>Preethi Menon</t>
  </si>
  <si>
    <t>Business Analyst</t>
  </si>
  <si>
    <t>6 yrs exp</t>
  </si>
  <si>
    <t>REC015</t>
  </si>
  <si>
    <t>Ashwin Kumar</t>
  </si>
  <si>
    <t>Security Engineer</t>
  </si>
  <si>
    <t>CISSP certified</t>
  </si>
  <si>
    <t>REC016</t>
  </si>
  <si>
    <t>Nisha Agarwal</t>
  </si>
  <si>
    <t>Technical Writer</t>
  </si>
  <si>
    <t>Portfolio review pending</t>
  </si>
  <si>
    <t>REC017</t>
  </si>
  <si>
    <t>Vivek Chandran</t>
  </si>
  <si>
    <t>Backend Engineer (Python)</t>
  </si>
  <si>
    <t>HackerEarth</t>
  </si>
  <si>
    <t>Weak system design</t>
  </si>
  <si>
    <t>REC018</t>
  </si>
  <si>
    <t>Rekha Sundaram</t>
  </si>
  <si>
    <t>Customer Success Manager</t>
  </si>
  <si>
    <t>SaaS background</t>
  </si>
  <si>
    <t>REC019</t>
  </si>
  <si>
    <t>Manoj Pillai</t>
  </si>
  <si>
    <t>Data Engineer</t>
  </si>
  <si>
    <t>Spark/Kafka exp</t>
  </si>
  <si>
    <t>REC020</t>
  </si>
  <si>
    <t>Kavitha Rajan</t>
  </si>
  <si>
    <t>Graphic Designer</t>
  </si>
  <si>
    <t>Behance</t>
  </si>
  <si>
    <t>Strong brand design</t>
  </si>
  <si>
    <t>Avg. Days to Close (closed roles)</t>
  </si>
  <si>
    <t>📋  Source: HR System (HRMS) + Onboarding Portal   |   Updated: June 2025   |   ✅ = Complete   ❌ = Pending   🔄 = In Progress</t>
  </si>
  <si>
    <t>Emp ID</t>
  </si>
  <si>
    <t>Employee Name</t>
  </si>
  <si>
    <t>Role</t>
  </si>
  <si>
    <t>Date of Joining</t>
  </si>
  <si>
    <t>Buddy Assigned</t>
  </si>
  <si>
    <t>Overall Status</t>
  </si>
  <si>
    <t>EMP101</t>
  </si>
  <si>
    <t>✅</t>
  </si>
  <si>
    <t>Complete</t>
  </si>
  <si>
    <t>EMP102</t>
  </si>
  <si>
    <t>🔄</t>
  </si>
  <si>
    <t>❌</t>
  </si>
  <si>
    <t>EMP103</t>
  </si>
  <si>
    <t>EMP104</t>
  </si>
  <si>
    <t>EMP105</t>
  </si>
  <si>
    <t>EMP106</t>
  </si>
  <si>
    <t>EMP107</t>
  </si>
  <si>
    <t>EMP108</t>
  </si>
  <si>
    <t>Ananya Das</t>
  </si>
  <si>
    <t>EMP109</t>
  </si>
  <si>
    <t>EMP110</t>
  </si>
  <si>
    <t>EMP111</t>
  </si>
  <si>
    <t>EMP112</t>
  </si>
  <si>
    <t>EMP113</t>
  </si>
  <si>
    <t>Backend Engineer</t>
  </si>
  <si>
    <t>EMP114</t>
  </si>
  <si>
    <t>EMP115</t>
  </si>
  <si>
    <t>📋  Source: Exit Interviews + HRMS Records   |   Updated: June 2025   |   Voluntary = Employee-initiated   |   Involuntary = Company-initiated</t>
  </si>
  <si>
    <t>Exit ID</t>
  </si>
  <si>
    <t>Date of Exit</t>
  </si>
  <si>
    <t>Tenure (Months)</t>
  </si>
  <si>
    <t>Exit Type</t>
  </si>
  <si>
    <t>Primary Reason</t>
  </si>
  <si>
    <t>Secondary Reason</t>
  </si>
  <si>
    <t>Exit Interview Done</t>
  </si>
  <si>
    <t>Performance Band</t>
  </si>
  <si>
    <t>EX001</t>
  </si>
  <si>
    <t>Aakash Joshi</t>
  </si>
  <si>
    <t>Growth Opportunity</t>
  </si>
  <si>
    <t>Yes</t>
  </si>
  <si>
    <t>B</t>
  </si>
  <si>
    <t>Joined competitor</t>
  </si>
  <si>
    <t>EX002</t>
  </si>
  <si>
    <t>Meena Thomas</t>
  </si>
  <si>
    <t>Data Scientist</t>
  </si>
  <si>
    <t>Relocation</t>
  </si>
  <si>
    <t>Personal Reason</t>
  </si>
  <si>
    <t>A</t>
  </si>
  <si>
    <t>Moving to Bangalore</t>
  </si>
  <si>
    <t>EX003</t>
  </si>
  <si>
    <t>Siddharth Pillai</t>
  </si>
  <si>
    <t>Cloud Engineer</t>
  </si>
  <si>
    <t>Lack of Growth</t>
  </si>
  <si>
    <t>B+</t>
  </si>
  <si>
    <t>Startup offer</t>
  </si>
  <si>
    <t>EX004</t>
  </si>
  <si>
    <t>QA Lead</t>
  </si>
  <si>
    <t>Performance Issues</t>
  </si>
  <si>
    <t>Attendance</t>
  </si>
  <si>
    <t>C</t>
  </si>
  <si>
    <t>PIP not met</t>
  </si>
  <si>
    <t>EX005</t>
  </si>
  <si>
    <t>Ramesh Nair</t>
  </si>
  <si>
    <t>Account Executive</t>
  </si>
  <si>
    <t>Career Change</t>
  </si>
  <si>
    <t>Work-Life Balance</t>
  </si>
  <si>
    <t>Moving to non-tech</t>
  </si>
  <si>
    <t>EX006</t>
  </si>
  <si>
    <t>Sunita Pillai</t>
  </si>
  <si>
    <t>Product Designer</t>
  </si>
  <si>
    <t>Manager Conflict</t>
  </si>
  <si>
    <t>No</t>
  </si>
  <si>
    <t>Counter-offer lost</t>
  </si>
  <si>
    <t>EX007</t>
  </si>
  <si>
    <t>Arvind Rao</t>
  </si>
  <si>
    <t>Full Stack Developer</t>
  </si>
  <si>
    <t>Higher Studies</t>
  </si>
  <si>
    <t>A-</t>
  </si>
  <si>
    <t>MS in USA</t>
  </si>
  <si>
    <t>EX008</t>
  </si>
  <si>
    <t>Lakshmi Das</t>
  </si>
  <si>
    <t>HR Executive</t>
  </si>
  <si>
    <t>Role Redundancy</t>
  </si>
  <si>
    <t>Dept restructure</t>
  </si>
  <si>
    <t>EX009</t>
  </si>
  <si>
    <t>Kiran Menon</t>
  </si>
  <si>
    <t>Senior Finance Analyst</t>
  </si>
  <si>
    <t>BFSI sector move</t>
  </si>
  <si>
    <t>EX010</t>
  </si>
  <si>
    <t>Neha Agarwal</t>
  </si>
  <si>
    <t>Frontend Engineer</t>
  </si>
  <si>
    <t>Remote Work Preference</t>
  </si>
  <si>
    <t>WFH not approved</t>
  </si>
  <si>
    <t>EX011</t>
  </si>
  <si>
    <t>Gautam Shetty</t>
  </si>
  <si>
    <t>ML Research Engineer</t>
  </si>
  <si>
    <t>Research Opportunity</t>
  </si>
  <si>
    <t>FAANG offer</t>
  </si>
  <si>
    <t>EX012</t>
  </si>
  <si>
    <t>Pallavi Raj</t>
  </si>
  <si>
    <t>Associate PM</t>
  </si>
  <si>
    <t>Startup opportunity</t>
  </si>
  <si>
    <t>EX013</t>
  </si>
  <si>
    <t>Rajesh Kumar</t>
  </si>
  <si>
    <t>Network Engineer</t>
  </si>
  <si>
    <t>Misconduct</t>
  </si>
  <si>
    <t>C-</t>
  </si>
  <si>
    <t>Policy violation</t>
  </si>
  <si>
    <t>EX014</t>
  </si>
  <si>
    <t>Usha Nambiar</t>
  </si>
  <si>
    <t>BI Developer</t>
  </si>
  <si>
    <t>Spouse Transfer</t>
  </si>
  <si>
    <t>Family reason</t>
  </si>
  <si>
    <t>EX015</t>
  </si>
  <si>
    <t>Deepak Singh</t>
  </si>
  <si>
    <t>B-</t>
  </si>
  <si>
    <t>Early attrition</t>
  </si>
  <si>
    <t>EX016</t>
  </si>
  <si>
    <t>Swathi Krishnan</t>
  </si>
  <si>
    <t>Freelancing</t>
  </si>
  <si>
    <t>EX017</t>
  </si>
  <si>
    <t>Mohit Batra</t>
  </si>
  <si>
    <t>Sales Manager</t>
  </si>
  <si>
    <t>Target Not Met</t>
  </si>
  <si>
    <t>Team downsized</t>
  </si>
  <si>
    <t>EX018</t>
  </si>
  <si>
    <t>Geetha Varghese</t>
  </si>
  <si>
    <t>MBA program</t>
  </si>
  <si>
    <t>Total Exits</t>
  </si>
  <si>
    <t>Avg. Tenure (Months)</t>
  </si>
  <si>
    <t>Metric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</si>
  <si>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</si>
  <si>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</si>
  <si>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</si>
  <si>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</si>
  <si>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</si>
  <si>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</si>
  <si>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</si>
  <si>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</si>
  <si>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</si>
  <si>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</si>
  <si>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</si>
  <si>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</si>
  <si>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TOTAL / AVG</t>
  </si>
  <si>
    <t>Applications Received</t>
  </si>
  <si>
    <t>Offers Extended</t>
  </si>
  <si>
    <t>Hires (Joined)</t>
  </si>
  <si>
    <t>Offer Acceptance Rate %</t>
  </si>
  <si>
    <t>Voluntary Exits</t>
  </si>
  <si>
    <t>Involuntary Exits</t>
  </si>
  <si>
    <t>Attrition Rate %</t>
  </si>
  <si>
    <t>Avg. Tenure of Exits (Mo)</t>
  </si>
  <si>
    <t>New Joiners</t>
  </si>
  <si>
    <t>Onboarding Complete</t>
  </si>
  <si>
    <t>Onboarding In Progress</t>
  </si>
  <si>
    <t>Completion Rate %</t>
  </si>
  <si>
    <t>Total HC</t>
  </si>
  <si>
    <t>Male</t>
  </si>
  <si>
    <t>Female</t>
  </si>
  <si>
    <t>Non-Binary / Prefer not to say</t>
  </si>
  <si>
    <t>% Women</t>
  </si>
  <si>
    <t>Avg. Tenure (Mo)</t>
  </si>
  <si>
    <t>Avg. Age</t>
  </si>
  <si>
    <t>Largest dept; 4 open roles</t>
  </si>
  <si>
    <t>BI + Data Science teams</t>
  </si>
  <si>
    <t>Cloud &amp; Network</t>
  </si>
  <si>
    <t>PM + Scrum</t>
  </si>
  <si>
    <t>UX + Graphic</t>
  </si>
  <si>
    <t>Research &amp; Applied ML</t>
  </si>
  <si>
    <t>SMB + Enterprise</t>
  </si>
  <si>
    <t>HRBP + Ops</t>
  </si>
  <si>
    <t>FP&amp;A + Accounts</t>
  </si>
  <si>
    <t>Marketing</t>
  </si>
  <si>
    <t>Content + Growth</t>
  </si>
  <si>
    <t>TOTAL</t>
  </si>
  <si>
    <t>Value</t>
  </si>
  <si>
    <t>Target</t>
  </si>
  <si>
    <t>Overall % Women in Workforce</t>
  </si>
  <si>
    <t>35%</t>
  </si>
  <si>
    <t>Women in Tech Roles (Eng+AI/ML)</t>
  </si>
  <si>
    <t>30%</t>
  </si>
  <si>
    <t>Women in Leadership (Mgr+)</t>
  </si>
  <si>
    <t>40%</t>
  </si>
  <si>
    <t>⚠️ Below Target</t>
  </si>
  <si>
    <t>New Hires - % Women (FY25)</t>
  </si>
  <si>
    <t>Manual check needed</t>
  </si>
  <si>
    <t>Attrition - % Women Exited</t>
  </si>
  <si>
    <t>&lt; Company avg</t>
  </si>
  <si>
    <t>Manual check</t>
  </si>
  <si>
    <t>Month</t>
  </si>
  <si>
    <t>Opening HC</t>
  </si>
  <si>
    <t>Joiners</t>
  </si>
  <si>
    <t>Closing HC</t>
  </si>
  <si>
    <t>Net Change</t>
  </si>
  <si>
    <t>High attrition month</t>
  </si>
  <si>
    <t>Hiring push</t>
  </si>
  <si>
    <t>📋  Source: LMS + Manager Reports   |   Updated: June 2025   |   Tracks training completion, certifications, and skill coverage</t>
  </si>
  <si>
    <t>Training Program</t>
  </si>
  <si>
    <t>Category</t>
  </si>
  <si>
    <t>Mode</t>
  </si>
  <si>
    <t>Start Date</t>
  </si>
  <si>
    <t>Completion Date</t>
  </si>
  <si>
    <t>Score / Grade</t>
  </si>
  <si>
    <t>Certification Earned</t>
  </si>
  <si>
    <t>Valid Until</t>
  </si>
  <si>
    <t>Cost (INR)</t>
  </si>
  <si>
    <t>AWS Solutions Architect</t>
  </si>
  <si>
    <t>Cloud</t>
  </si>
  <si>
    <t>Online</t>
  </si>
  <si>
    <t>87/100</t>
  </si>
  <si>
    <t>AWS SAA-C03</t>
  </si>
  <si>
    <t>Passed first attempt</t>
  </si>
  <si>
    <t>Advanced SQL &amp; dbt</t>
  </si>
  <si>
    <t>Data Engineering</t>
  </si>
  <si>
    <t>92/100</t>
  </si>
  <si>
    <t>None</t>
  </si>
  <si>
    <t>Internal LMS</t>
  </si>
  <si>
    <t>Selenium + Cypress Automation</t>
  </si>
  <si>
    <t>QA Automation</t>
  </si>
  <si>
    <t>Pass</t>
  </si>
  <si>
    <t>ISTQB Automation</t>
  </si>
  <si>
    <t>Next.js 14 &amp; React Advanced</t>
  </si>
  <si>
    <t>Frontend</t>
  </si>
  <si>
    <t>Self-paced Udemy</t>
  </si>
  <si>
    <t>CISSP Refresher</t>
  </si>
  <si>
    <t>Security</t>
  </si>
  <si>
    <t>Classroom</t>
  </si>
  <si>
    <t>CISSP CPE</t>
  </si>
  <si>
    <t>Annual renewal</t>
  </si>
  <si>
    <t>Certified Scrum Master (CSM)</t>
  </si>
  <si>
    <t>Agile</t>
  </si>
  <si>
    <t>CSM</t>
  </si>
  <si>
    <t>Scrumalliance</t>
  </si>
  <si>
    <t>Tableau Desktop Specialist</t>
  </si>
  <si>
    <t>BI &amp; Visualization</t>
  </si>
  <si>
    <t>Tableau DS</t>
  </si>
  <si>
    <t>Figma Advanced &amp; Design Systems</t>
  </si>
  <si>
    <t>Apache Spark &amp; Kafka</t>
  </si>
  <si>
    <t>88/100</t>
  </si>
  <si>
    <t>Adobe Creative Suite Advanced</t>
  </si>
  <si>
    <t>Adobe CC</t>
  </si>
  <si>
    <t>Deep Learning Specialization</t>
  </si>
  <si>
    <t>95/100</t>
  </si>
  <si>
    <t>Coursera DL</t>
  </si>
  <si>
    <t>DeepLearning.AI</t>
  </si>
  <si>
    <t>Financial Modeling &amp; Valuation</t>
  </si>
  <si>
    <t>Docker &amp; Kubernetes</t>
  </si>
  <si>
    <t>DevOps</t>
  </si>
  <si>
    <t>CKA</t>
  </si>
  <si>
    <t>Salesforce Admin Cert</t>
  </si>
  <si>
    <t>CRM</t>
  </si>
  <si>
    <t>Salesforce Admin</t>
  </si>
  <si>
    <t>Technical Writing (DITA)</t>
  </si>
  <si>
    <t>Writing</t>
  </si>
  <si>
    <t>Planned</t>
  </si>
  <si>
    <t>Leadership Essentials</t>
  </si>
  <si>
    <t>Leadership</t>
  </si>
  <si>
    <t>In-house program</t>
  </si>
  <si>
    <t>Total Training Sessions (FY25)</t>
  </si>
  <si>
    <t>Employees Trained</t>
  </si>
  <si>
    <t>100%</t>
  </si>
  <si>
    <t>85%</t>
  </si>
  <si>
    <t>Certifications Earned</t>
  </si>
  <si>
    <t>Total L&amp;D Spend (INR)</t>
  </si>
  <si>
    <t>Avg. Cost per Training</t>
  </si>
  <si>
    <t>📋  Source: HRMS Leave Module   |   Updated: June 2025   |   Entitlements per company policy: PL=18, SL=12, CL=6 days/year</t>
  </si>
  <si>
    <t>PL Entitlement</t>
  </si>
  <si>
    <t>PL Taken</t>
  </si>
  <si>
    <t>PL Balance</t>
  </si>
  <si>
    <t>SL Entitlement</t>
  </si>
  <si>
    <t>SL Taken</t>
  </si>
  <si>
    <t>SL Balance</t>
  </si>
  <si>
    <t>CL Entitlement</t>
  </si>
  <si>
    <t>CL Taken</t>
  </si>
  <si>
    <t>CL Balance</t>
  </si>
  <si>
    <t>Total Days Absent</t>
  </si>
  <si>
    <t>Absenteeism %</t>
  </si>
  <si>
    <t>TOTALS / AVG</t>
  </si>
  <si>
    <t>Leave Type</t>
  </si>
  <si>
    <t>Total Entitlement</t>
  </si>
  <si>
    <t>Total Taken</t>
  </si>
  <si>
    <t>Total Balance</t>
  </si>
  <si>
    <t>Utilization %</t>
  </si>
  <si>
    <t>Policy Limit</t>
  </si>
  <si>
    <t>Planned Leave (PL)</t>
  </si>
  <si>
    <t>18 days/year</t>
  </si>
  <si>
    <t>Sick Leave (SL)</t>
  </si>
  <si>
    <t>12 days/year</t>
  </si>
  <si>
    <t>Casual Leave (CL)</t>
  </si>
  <si>
    <t>6 days/year</t>
  </si>
  <si>
    <t>📋  Source: Recruitment Pipeline   |   Industry benchmark: &gt;80% acceptance rate is healthy for IT companies</t>
  </si>
  <si>
    <t>Rec ID</t>
  </si>
  <si>
    <t>CTC Offered (INR LPA)</t>
  </si>
  <si>
    <t>Offer Accepted?</t>
  </si>
  <si>
    <t>Reason if Declined</t>
  </si>
  <si>
    <t>Joining Date</t>
  </si>
  <si>
    <t>Joined</t>
  </si>
  <si>
    <t>Offer accepted; joining pending</t>
  </si>
  <si>
    <t>Accepted counter-offer from current employer</t>
  </si>
  <si>
    <t>Lost to counter-offer</t>
  </si>
  <si>
    <t>Joining confirmation pending</t>
  </si>
  <si>
    <t>Pending</t>
  </si>
  <si>
    <t>Final round done; offer in preparation</t>
  </si>
  <si>
    <t>Technical round ongoing</t>
  </si>
  <si>
    <t>Benchmark</t>
  </si>
  <si>
    <t>Insight</t>
  </si>
  <si>
    <t>Total Offers Extended</t>
  </si>
  <si>
    <t>Excludes pending final rounds</t>
  </si>
  <si>
    <t>Offers Accepted</t>
  </si>
  <si>
    <t>Confirmed joins only</t>
  </si>
  <si>
    <t>Offers Declined</t>
  </si>
  <si>
    <t>Counter-offers main reason</t>
  </si>
  <si>
    <t>Acceptance Rate</t>
  </si>
  <si>
    <t>&gt;80%</t>
  </si>
  <si>
    <t>Excl. pending offers</t>
  </si>
  <si>
    <t>Avg. CTC Offered (LPA)</t>
  </si>
  <si>
    <t>Accepted offers only</t>
  </si>
  <si>
    <t>Month-by-month hiring, attrition, onboarding metrics</t>
  </si>
  <si>
    <t>Dept headcount, gender diversity, HC movement</t>
  </si>
  <si>
    <t xml:space="preserve"> Training log, certifications, L&amp;D spend</t>
  </si>
  <si>
    <t>Leave balances, absenteeism rate by employee</t>
  </si>
  <si>
    <t xml:space="preserve"> All offers, acceptance rate, declined reasons</t>
  </si>
  <si>
    <t>👥  HEADCOUNT &amp; DIVERSITY TRACKER  |  FY 2024-25  |  Company Name</t>
  </si>
  <si>
    <t>RECRUITMENT PIPELINE TRACKER - FY 2024-25  |  Company Name</t>
  </si>
  <si>
    <t>EMPLOYEE ONBOARDING TRACKER - FY 2024-25  |  Company Name</t>
  </si>
  <si>
    <t>ATTRITION &amp; EXIT DATA - FY 2024-25  |  Company Name</t>
  </si>
  <si>
    <t>📅  MONTHLY HR METRICS TREND TRACKER  |  FY 2024-25  |  Company Name</t>
  </si>
  <si>
    <t>🎓  LEARNING &amp; DEVELOPMENT (L&amp;D) TRACKER  |  FY 2024-25  |  Company Name</t>
  </si>
  <si>
    <t>🗓️  LEAVE &amp; ABSENCE TRACKER  |  FY 2024-25  |  Company Name</t>
  </si>
  <si>
    <t>📝  OFFER ACCEPTANCE RATE TRACKER  |  FY 2024-25  |  Company Name</t>
  </si>
  <si>
    <t xml:space="preserve">  🗂️  WORKBOOK NAVIGATION - ALL SHEETS IN THIS FILE</t>
  </si>
  <si>
    <t>This sheet - master KPI view linking all modules</t>
  </si>
  <si>
    <t>📋  Update monthly - tracks Hiring, Attrition, and Onboarding KPIs over time for trend analysis</t>
  </si>
  <si>
    <t xml:space="preserve">  📌  SECTION A - MONTHLY RECRUITMENT METRICS</t>
  </si>
  <si>
    <t xml:space="preserve">  📌  SECTION B - MONTHLY ATTRITION METRICS</t>
  </si>
  <si>
    <t xml:space="preserve">  📌  SECTION C - MONTHLY ONBOARDING METRICS</t>
  </si>
  <si>
    <t>📋  Source: HRMS Employee Master   |   Updated: June 2025   |   Update monthly - tracks workforce composition</t>
  </si>
  <si>
    <t xml:space="preserve">  📌  SECTION A - ACTIVE HEADCOUNT BY DEPARTMENT</t>
  </si>
  <si>
    <t xml:space="preserve">  📌  SECTION B - DIVERSITY SUMMARY METRICS</t>
  </si>
  <si>
    <t xml:space="preserve">  📌  SECTION C - HEADCOUNT MOVEMENT (FY 2024-25)</t>
  </si>
  <si>
    <t xml:space="preserve">  📌  SECTION A - EMPLOYEE TRAINING LOG</t>
  </si>
  <si>
    <t>-</t>
  </si>
  <si>
    <t xml:space="preserve">  📌  SECTION B - L&amp;D SUMMARY METRICS</t>
  </si>
  <si>
    <t xml:space="preserve">  📌  SECTION A - EMPLOYEE LEAVE BALANCE &amp; UTILIZATION (FY 2024-25)</t>
  </si>
  <si>
    <t>High absenteeism - review</t>
  </si>
  <si>
    <t xml:space="preserve">  📌  SECTION B - LEAVE BY TYPE SUMMARY</t>
  </si>
  <si>
    <t xml:space="preserve">  📌  SECTION A - OFFER LOG (ALL EXTENDED OFFERS)</t>
  </si>
  <si>
    <t xml:space="preserve">  📌  SECTION B - OFFER ACCEPTANCE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</si>
</sst>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d\-mmm\-yyyy"/>
  </numFmts>
  <fonts count="45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family val="2"/>
      <charset val="1"/>
    </font>
    <font>
      <sz val="9"/>
      <color rgb="FF595959"/>
      <name val="Arial"/>
      <charset val="1"/>
    </font>
    <font>
      <b/>
      <sz val="22"/>
      <color rgb="FF1F3864"/>
      <name val="Arial"/>
      <charset val="1"/>
    </font>
    <font>
      <i/>
      <sz val="10"/>
      <color rgb="FF808080"/>
      <name val="Arial"/>
      <family val="2"/>
      <charset val="1"/>
    </font>
    <font>
      <b/>
      <sz val="10"/>
      <color rgb="FF2E75B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22"/>
      <color rgb="FF1A5276"/>
      <name val="Arial"/>
      <charset val="1"/>
    </font>
    <font>
      <i/>
      <sz val="8"/>
      <color rgb="FF808080"/>
      <name val="Arial"/>
      <charset val="1"/>
    </font>
    <font>
      <b/>
      <sz val="10"/>
      <color rgb="FF1A5276"/>
      <name val="Arial"/>
      <charset val="1"/>
    </font>
    <font>
      <b/>
      <sz val="22"/>
      <color rgb="FF7B241C"/>
      <name val="Arial"/>
      <charset val="1"/>
    </font>
    <font>
      <b/>
      <sz val="10"/>
      <color rgb="FF7B241C"/>
      <name val="Arial"/>
      <charset val="1"/>
    </font>
    <font>
      <b/>
      <sz val="10"/>
      <color rgb="FF1F3864"/>
      <name val="Arial"/>
      <charset val="1"/>
    </font>
    <font>
      <b/>
      <sz val="9"/>
      <color rgb="FF2E75B6"/>
      <name val="Arial"/>
      <charset val="1"/>
    </font>
    <font>
      <sz val="9"/>
      <color rgb="FF2C3E50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family val="2"/>
      <charset val="1"/>
    </font>
    <font>
      <i/>
      <sz val="9"/>
      <color rgb="FF404040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9"/>
      <color rgb="FF843C0C"/>
      <name val="Arial"/>
      <charset val="1"/>
    </font>
    <font>
      <b/>
      <sz val="9"/>
      <color rgb="FF1F3864"/>
      <name val="Arial"/>
      <charset val="1"/>
    </font>
    <font>
      <b/>
      <sz val="9"/>
      <color rgb="FF7F6000"/>
      <name val="Arial"/>
      <charset val="1"/>
    </font>
    <font>
      <b/>
      <sz val="9"/>
      <color rgb="FF595959"/>
      <name val="Arial"/>
      <charset val="1"/>
    </font>
    <font>
      <b/>
      <sz val="10"/>
      <color rgb="FF595959"/>
      <name val="Arial"/>
      <family val="2"/>
      <charset val="1"/>
    </font>
    <font>
      <b/>
      <sz val="14"/>
      <color rgb="FF1F3864"/>
      <name val="Arial"/>
      <charset val="1"/>
    </font>
    <font>
      <b/>
      <sz val="13"/>
      <color rgb="FFFFFFFF"/>
      <name val="Arial"/>
      <charset val="1"/>
    </font>
    <font>
      <b/>
      <sz val="14"/>
      <color rgb="FF1A5276"/>
      <name val="Arial"/>
      <charset val="1"/>
    </font>
    <font>
      <sz val="9"/>
      <color rgb="FF000000"/>
      <name val="Arial"/>
      <family val="2"/>
      <charset val="1"/>
    </font>
    <font>
      <b/>
      <sz val="14"/>
      <color rgb="FF7B241C"/>
      <name val="Arial"/>
      <charset val="1"/>
    </font>
    <font>
      <i/>
      <sz val="9"/>
      <color rgb="FF26215C"/>
      <name val="Arial"/>
      <charset val="1"/>
    </font>
    <font>
      <sz val="9"/>
      <name val="Arial"/>
      <charset val="1"/>
    </font>
    <font>
      <b/>
      <sz val="9"/>
      <color rgb="FF7B241C"/>
      <name val="Arial"/>
      <charset val="1"/>
    </font>
    <font>
      <b/>
      <sz val="9"/>
      <color rgb="FF1A5276"/>
      <name val="Arial"/>
      <charset val="1"/>
    </font>
    <font>
      <i/>
      <sz val="9"/>
      <color rgb="FF085041"/>
      <name val="Arial"/>
      <charset val="1"/>
    </font>
    <font>
      <b/>
      <sz val="9"/>
      <color rgb="FF085041"/>
      <name val="Arial"/>
      <charset val="1"/>
    </font>
    <font>
      <sz val="9"/>
      <color rgb="FF9C0006"/>
      <name val="Arial"/>
      <charset val="1"/>
    </font>
    <font>
      <i/>
      <sz val="9"/>
      <color rgb="FF633806"/>
      <name val="Arial"/>
      <charset val="1"/>
    </font>
    <font>
      <i/>
      <sz val="9"/>
      <color rgb="FF72243E"/>
      <name val="Arial"/>
      <charset val="1"/>
    </font>
    <font>
      <b/>
      <sz val="9"/>
      <color rgb="FF72243E"/>
      <name val="Arial"/>
      <charset val="1"/>
    </font>
    <font>
      <i/>
      <sz val="9"/>
      <color rgb="FF042C53"/>
      <name val="Arial"/>
      <charset val="1"/>
    </font>
  </fonts>
  <fills count="44">
    <fill>
      <patternFill patternType="none"/>
    </fill>
    <fill>
      <patternFill patternType="gray125"/>
    </fill>
    <fill>
      <patternFill patternType="darkGray">
        <fgColor rgb="FF17375D"/>
        <bgColor rgb="FF1F3063"/>
      </patternFill>
    </fill>
    <fill>
      <patternFill patternType="solid">
        <fgColor rgb="FFEBF3FB"/>
        <bgColor rgb="FFE6F1FB"/>
      </patternFill>
    </fill>
    <fill>
      <patternFill patternType="solid">
        <fgColor rgb="FF2E75B6"/>
        <bgColor rgb="FF378ADD"/>
      </patternFill>
    </fill>
    <fill>
      <patternFill patternType="solid">
        <fgColor rgb="FFD6E4F0"/>
        <bgColor rgb="FFD9E1F2"/>
      </patternFill>
    </fill>
    <fill>
      <patternFill patternType="solid">
        <fgColor rgb="FF1A5276"/>
        <bgColor rgb="FF185FA5"/>
      </patternFill>
    </fill>
    <fill>
      <patternFill patternType="solid">
        <fgColor rgb="FFD6EAF8"/>
        <bgColor rgb="FFDEEBF7"/>
      </patternFill>
    </fill>
    <fill>
      <patternFill patternType="solid">
        <fgColor rgb="FFEBF8FF"/>
        <bgColor rgb="FFEBF3FB"/>
      </patternFill>
    </fill>
    <fill>
      <patternFill patternType="solid">
        <fgColor rgb="FFE2EFDA"/>
        <bgColor rgb="FFE1F5EE"/>
      </patternFill>
    </fill>
    <fill>
      <patternFill patternType="solid">
        <fgColor rgb="FFFFF2CC"/>
        <bgColor rgb="FFFAEEDA"/>
      </patternFill>
    </fill>
    <fill>
      <patternFill patternType="solid">
        <fgColor rgb="FF7B241C"/>
        <bgColor rgb="FF72243E"/>
      </patternFill>
    </fill>
    <fill>
      <patternFill patternType="solid">
        <fgColor rgb="FFFADBD8"/>
        <bgColor rgb="FFFFE0E0"/>
      </patternFill>
    </fill>
    <fill>
      <patternFill patternType="solid">
        <fgColor rgb="FFFDEDEC"/>
        <bgColor rgb="FFFBEAF0"/>
      </patternFill>
    </fill>
    <fill>
      <patternFill patternType="solid">
        <fgColor rgb="FFF4F9FF"/>
        <bgColor rgb="FFF7FBFF"/>
      </patternFill>
    </fill>
    <fill>
      <patternFill patternType="solid">
        <fgColor rgb="FFF8F8F8"/>
        <bgColor rgb="FFF4F9FF"/>
      </patternFill>
    </fill>
    <fill>
      <patternFill patternType="solid">
        <fgColor rgb="FFFFFFFF"/>
        <bgColor rgb="FFF7FBFF"/>
      </patternFill>
    </fill>
    <fill>
      <patternFill patternType="solid">
        <fgColor rgb="FF534AB7"/>
        <bgColor rgb="FF595959"/>
      </patternFill>
    </fill>
    <fill>
      <patternFill patternType="solid">
        <fgColor rgb="FFFFFDE7"/>
        <bgColor rgb="FFFFFBF0"/>
      </patternFill>
    </fill>
    <fill>
      <patternFill patternType="solid">
        <fgColor rgb="FF0F6E56"/>
        <bgColor rgb="FF085041"/>
      </patternFill>
    </fill>
    <fill>
      <patternFill patternType="solid">
        <fgColor rgb="FF854F0B"/>
        <bgColor rgb="FF7F6000"/>
      </patternFill>
    </fill>
    <fill>
      <patternFill patternType="solid">
        <fgColor rgb="FF993556"/>
        <bgColor rgb="FF72243E"/>
      </patternFill>
    </fill>
    <fill>
      <patternFill patternType="solid">
        <fgColor rgb="FF185FA5"/>
        <bgColor rgb="FF1A5276"/>
      </patternFill>
    </fill>
    <fill>
      <patternFill patternType="solid">
        <fgColor rgb="FFF7FBFF"/>
        <bgColor rgb="FFF4F9FF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DEEBF7"/>
        <bgColor rgb="FFD6EAF8"/>
      </patternFill>
    </fill>
    <fill>
      <patternFill patternType="solid">
        <fgColor rgb="FFEEEDFE"/>
        <bgColor rgb="FFEBF3FB"/>
      </patternFill>
    </fill>
    <fill>
      <patternFill patternType="solid">
        <fgColor rgb="FFFFF5F5"/>
        <bgColor rgb="FFFFF0F5"/>
      </patternFill>
    </fill>
    <fill>
      <patternFill patternType="solid">
        <fgColor rgb="FFE1F5EE"/>
        <bgColor rgb="FFE6F1FB"/>
      </patternFill>
    </fill>
    <fill>
      <patternFill patternType="solid">
        <fgColor rgb="FFF0FFF8"/>
        <bgColor rgb="FFF0FFF5"/>
      </patternFill>
    </fill>
    <fill>
      <patternFill patternType="solid">
        <fgColor rgb="FF1D9E75"/>
        <bgColor rgb="FF0F6E56"/>
      </patternFill>
    </fill>
    <fill>
      <patternFill patternType="solid">
        <fgColor rgb="FFFAEEDA"/>
        <bgColor rgb="FFFFF2CC"/>
      </patternFill>
    </fill>
    <fill>
      <patternFill patternType="solid">
        <fgColor rgb="FFFFFBF0"/>
        <bgColor rgb="FFFFFDE7"/>
      </patternFill>
    </fill>
    <fill>
      <patternFill patternType="solid">
        <fgColor rgb="FFEF9F27"/>
        <bgColor rgb="FFD4537E"/>
      </patternFill>
    </fill>
    <fill>
      <patternFill patternType="solid">
        <fgColor rgb="FFFBEAF0"/>
        <bgColor rgb="FFFDEDEC"/>
      </patternFill>
    </fill>
    <fill>
      <patternFill patternType="solid">
        <fgColor rgb="FFFFF0F5"/>
        <bgColor rgb="FFFFF5F5"/>
      </patternFill>
    </fill>
    <fill>
      <patternFill patternType="solid">
        <fgColor rgb="FFF0FFF5"/>
        <bgColor rgb="FFF0FFF8"/>
      </patternFill>
    </fill>
    <fill>
      <patternFill patternType="solid">
        <fgColor rgb="FFD4537E"/>
        <bgColor rgb="FF993556"/>
      </patternFill>
    </fill>
    <fill>
      <patternFill patternType="solid">
        <fgColor rgb="FFE6F1FB"/>
        <bgColor rgb="FFEBF3FB"/>
      </patternFill>
    </fill>
    <fill>
      <patternFill patternType="solid">
        <fgColor rgb="FF378ADD"/>
        <bgColor rgb="FF2E75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2" fillId="8" borderId="0" xfId="0" applyFont="1" applyFill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7" fillId="0" borderId="0" xfId="0" applyFont="1"/>
    <xf numFmtId="0" fontId="6" fillId="3" borderId="0" xfId="0" applyFont="1" applyFill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left" vertical="center"/>
    </xf>
    <xf numFmtId="166" fontId="9" fillId="23" borderId="2" xfId="0" applyNumberFormat="1" applyFont="1" applyFill="1" applyBorder="1" applyAlignment="1">
      <alignment horizontal="left" vertical="center"/>
    </xf>
    <xf numFmtId="0" fontId="22" fillId="24" borderId="2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left" vertical="center"/>
    </xf>
    <xf numFmtId="166" fontId="9" fillId="16" borderId="2" xfId="0" applyNumberFormat="1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center" vertical="center"/>
    </xf>
    <xf numFmtId="0" fontId="23" fillId="26" borderId="2" xfId="0" applyFont="1" applyFill="1" applyBorder="1" applyAlignment="1">
      <alignment horizontal="center" vertical="center"/>
    </xf>
    <xf numFmtId="0" fontId="24" fillId="27" borderId="2" xfId="0" applyFont="1" applyFill="1" applyBorder="1" applyAlignment="1">
      <alignment horizontal="center" vertical="center"/>
    </xf>
    <xf numFmtId="1" fontId="9" fillId="16" borderId="2" xfId="0" applyNumberFormat="1" applyFont="1" applyFill="1" applyBorder="1" applyAlignment="1">
      <alignment horizontal="center" vertical="center"/>
    </xf>
    <xf numFmtId="0" fontId="25" fillId="28" borderId="2" xfId="0" applyFont="1" applyFill="1" applyBorder="1" applyAlignment="1">
      <alignment horizontal="center" vertical="center"/>
    </xf>
    <xf numFmtId="0" fontId="25" fillId="29" borderId="2" xfId="0" applyFont="1" applyFill="1" applyBorder="1" applyAlignment="1">
      <alignment horizontal="center" vertical="center"/>
    </xf>
    <xf numFmtId="1" fontId="9" fillId="23" borderId="2" xfId="0" applyNumberFormat="1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27" fillId="25" borderId="2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vertical="center"/>
    </xf>
    <xf numFmtId="164" fontId="29" fillId="3" borderId="4" xfId="0" applyNumberFormat="1" applyFont="1" applyFill="1" applyBorder="1" applyAlignment="1">
      <alignment vertical="center"/>
    </xf>
    <xf numFmtId="0" fontId="9" fillId="26" borderId="2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vertical="center"/>
    </xf>
    <xf numFmtId="0" fontId="31" fillId="7" borderId="5" xfId="0" applyFont="1" applyFill="1" applyBorder="1" applyAlignment="1">
      <alignment vertical="center"/>
    </xf>
    <xf numFmtId="165" fontId="31" fillId="7" borderId="4" xfId="0" applyNumberFormat="1" applyFont="1" applyFill="1" applyBorder="1" applyAlignment="1">
      <alignment vertical="center"/>
    </xf>
    <xf numFmtId="0" fontId="32" fillId="23" borderId="2" xfId="0" applyFont="1" applyFill="1" applyBorder="1" applyAlignment="1">
      <alignment horizontal="left" vertical="center"/>
    </xf>
    <xf numFmtId="0" fontId="33" fillId="12" borderId="4" xfId="0" applyFont="1" applyFill="1" applyBorder="1" applyAlignment="1">
      <alignment vertical="center"/>
    </xf>
    <xf numFmtId="164" fontId="33" fillId="12" borderId="4" xfId="0" applyNumberFormat="1" applyFont="1" applyFill="1" applyBorder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35" fillId="16" borderId="2" xfId="0" applyFont="1" applyFill="1" applyBorder="1" applyAlignment="1">
      <alignment horizontal="center" vertical="center"/>
    </xf>
    <xf numFmtId="0" fontId="35" fillId="18" borderId="2" xfId="0" applyFont="1" applyFill="1" applyBorder="1" applyAlignment="1">
      <alignment horizontal="center" vertical="center"/>
    </xf>
    <xf numFmtId="0" fontId="35" fillId="23" borderId="2" xfId="0" applyFont="1" applyFill="1" applyBorder="1" applyAlignment="1">
      <alignment horizontal="center" vertical="center"/>
    </xf>
    <xf numFmtId="164" fontId="35" fillId="16" borderId="2" xfId="0" applyNumberFormat="1" applyFont="1" applyFill="1" applyBorder="1" applyAlignment="1">
      <alignment horizontal="center" vertical="center"/>
    </xf>
    <xf numFmtId="164" fontId="35" fillId="18" borderId="2" xfId="0" applyNumberFormat="1" applyFont="1" applyFill="1" applyBorder="1" applyAlignment="1">
      <alignment horizontal="center" vertical="center"/>
    </xf>
    <xf numFmtId="164" fontId="35" fillId="23" borderId="2" xfId="0" applyNumberFormat="1" applyFont="1" applyFill="1" applyBorder="1" applyAlignment="1">
      <alignment horizontal="center" vertical="center"/>
    </xf>
    <xf numFmtId="0" fontId="36" fillId="0" borderId="2" xfId="0" applyFont="1" applyBorder="1" applyAlignment="1">
      <alignment horizontal="left" vertical="center"/>
    </xf>
    <xf numFmtId="0" fontId="35" fillId="31" borderId="2" xfId="0" applyFont="1" applyFill="1" applyBorder="1" applyAlignment="1">
      <alignment horizontal="center" vertical="center"/>
    </xf>
    <xf numFmtId="164" fontId="35" fillId="31" borderId="2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35" fillId="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165" fontId="9" fillId="16" borderId="2" xfId="0" applyNumberFormat="1" applyFont="1" applyFill="1" applyBorder="1" applyAlignment="1">
      <alignment horizontal="center" vertical="center"/>
    </xf>
    <xf numFmtId="164" fontId="9" fillId="16" borderId="2" xfId="0" applyNumberFormat="1" applyFont="1" applyFill="1" applyBorder="1" applyAlignment="1">
      <alignment horizontal="center" vertical="center"/>
    </xf>
    <xf numFmtId="0" fontId="9" fillId="33" borderId="2" xfId="0" applyFont="1" applyFill="1" applyBorder="1" applyAlignment="1">
      <alignment horizontal="left" vertical="center"/>
    </xf>
    <xf numFmtId="0" fontId="9" fillId="33" borderId="2" xfId="0" applyFont="1" applyFill="1" applyBorder="1" applyAlignment="1">
      <alignment horizontal="center" vertical="center"/>
    </xf>
    <xf numFmtId="165" fontId="9" fillId="33" borderId="2" xfId="0" applyNumberFormat="1" applyFont="1" applyFill="1" applyBorder="1" applyAlignment="1">
      <alignment horizontal="center" vertical="center"/>
    </xf>
    <xf numFmtId="164" fontId="9" fillId="33" borderId="2" xfId="0" applyNumberFormat="1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left" vertical="center"/>
    </xf>
    <xf numFmtId="0" fontId="39" fillId="32" borderId="2" xfId="0" applyFont="1" applyFill="1" applyBorder="1" applyAlignment="1">
      <alignment horizontal="center" vertical="center"/>
    </xf>
    <xf numFmtId="165" fontId="39" fillId="32" borderId="2" xfId="0" applyNumberFormat="1" applyFont="1" applyFill="1" applyBorder="1" applyAlignment="1">
      <alignment horizontal="center" vertical="center"/>
    </xf>
    <xf numFmtId="164" fontId="39" fillId="32" borderId="2" xfId="0" applyNumberFormat="1" applyFont="1" applyFill="1" applyBorder="1" applyAlignment="1">
      <alignment horizontal="center" vertical="center"/>
    </xf>
    <xf numFmtId="0" fontId="8" fillId="34" borderId="2" xfId="0" applyFont="1" applyFill="1" applyBorder="1" applyAlignment="1">
      <alignment horizontal="center" vertical="center" wrapText="1"/>
    </xf>
    <xf numFmtId="0" fontId="40" fillId="26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166" fontId="9" fillId="16" borderId="2" xfId="0" applyNumberFormat="1" applyFont="1" applyFill="1" applyBorder="1" applyAlignment="1">
      <alignment horizontal="center" vertical="center"/>
    </xf>
    <xf numFmtId="3" fontId="9" fillId="16" borderId="2" xfId="0" applyNumberFormat="1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left" vertical="center"/>
    </xf>
    <xf numFmtId="166" fontId="9" fillId="36" borderId="2" xfId="0" applyNumberFormat="1" applyFont="1" applyFill="1" applyBorder="1" applyAlignment="1">
      <alignment horizontal="center" vertical="center"/>
    </xf>
    <xf numFmtId="3" fontId="9" fillId="36" borderId="2" xfId="0" applyNumberFormat="1" applyFont="1" applyFill="1" applyBorder="1" applyAlignment="1">
      <alignment horizontal="center" vertical="center"/>
    </xf>
    <xf numFmtId="0" fontId="8" fillId="37" borderId="2" xfId="0" applyFont="1" applyFill="1" applyBorder="1" applyAlignment="1">
      <alignment horizontal="center" vertical="center" wrapText="1"/>
    </xf>
    <xf numFmtId="165" fontId="9" fillId="36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 wrapText="1"/>
    </xf>
    <xf numFmtId="1" fontId="35" fillId="16" borderId="2" xfId="0" applyNumberFormat="1" applyFont="1" applyFill="1" applyBorder="1" applyAlignment="1">
      <alignment horizontal="center" vertical="center"/>
    </xf>
    <xf numFmtId="165" fontId="35" fillId="16" borderId="2" xfId="0" applyNumberFormat="1" applyFont="1" applyFill="1" applyBorder="1" applyAlignment="1">
      <alignment horizontal="center" vertical="center"/>
    </xf>
    <xf numFmtId="0" fontId="9" fillId="39" borderId="2" xfId="0" applyFont="1" applyFill="1" applyBorder="1" applyAlignment="1">
      <alignment horizontal="left" vertical="center"/>
    </xf>
    <xf numFmtId="0" fontId="9" fillId="39" borderId="2" xfId="0" applyFont="1" applyFill="1" applyBorder="1" applyAlignment="1">
      <alignment horizontal="center" vertical="center"/>
    </xf>
    <xf numFmtId="1" fontId="35" fillId="40" borderId="2" xfId="0" applyNumberFormat="1" applyFont="1" applyFill="1" applyBorder="1" applyAlignment="1">
      <alignment horizontal="center" vertical="center"/>
    </xf>
    <xf numFmtId="0" fontId="35" fillId="40" borderId="2" xfId="0" applyFont="1" applyFill="1" applyBorder="1" applyAlignment="1">
      <alignment horizontal="center" vertical="center"/>
    </xf>
    <xf numFmtId="165" fontId="35" fillId="40" borderId="2" xfId="0" applyNumberFormat="1" applyFont="1" applyFill="1" applyBorder="1" applyAlignment="1">
      <alignment horizontal="center" vertical="center"/>
    </xf>
    <xf numFmtId="0" fontId="43" fillId="38" borderId="2" xfId="0" applyFont="1" applyFill="1" applyBorder="1" applyAlignment="1">
      <alignment horizontal="left" vertical="center"/>
    </xf>
    <xf numFmtId="0" fontId="9" fillId="38" borderId="2" xfId="0" applyFont="1" applyFill="1" applyBorder="1" applyAlignment="1">
      <alignment horizontal="left" vertical="center"/>
    </xf>
    <xf numFmtId="0" fontId="43" fillId="38" borderId="2" xfId="0" applyFont="1" applyFill="1" applyBorder="1" applyAlignment="1">
      <alignment horizontal="center" vertical="center"/>
    </xf>
    <xf numFmtId="165" fontId="43" fillId="38" borderId="2" xfId="0" applyNumberFormat="1" applyFont="1" applyFill="1" applyBorder="1" applyAlignment="1">
      <alignment horizontal="center" vertical="center"/>
    </xf>
    <xf numFmtId="0" fontId="8" fillId="41" borderId="2" xfId="0" applyFont="1" applyFill="1" applyBorder="1" applyAlignment="1">
      <alignment horizontal="center" vertical="center" wrapText="1"/>
    </xf>
    <xf numFmtId="165" fontId="9" fillId="39" borderId="2" xfId="0" applyNumberFormat="1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/>
    </xf>
    <xf numFmtId="166" fontId="9" fillId="8" borderId="2" xfId="0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8" fillId="43" borderId="2" xfId="0" applyFont="1" applyFill="1" applyBorder="1" applyAlignment="1">
      <alignment horizontal="center" vertical="center" wrapText="1"/>
    </xf>
    <xf numFmtId="0" fontId="13" fillId="0" borderId="0" xfId="0" applyFont="1"/>
    <xf numFmtId="0" fontId="10" fillId="11" borderId="0" xfId="0" applyFont="1" applyFill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164" fontId="14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8" fillId="14" borderId="4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9" fillId="2" borderId="4" xfId="0" applyFont="1" applyFill="1" applyBorder="1" applyAlignment="1">
      <alignment horizontal="center" vertical="center"/>
    </xf>
    <xf numFmtId="0" fontId="18" fillId="15" borderId="4" xfId="0" applyFont="1" applyFill="1" applyBorder="1" applyAlignment="1">
      <alignment vertical="center"/>
    </xf>
    <xf numFmtId="0" fontId="19" fillId="4" borderId="4" xfId="0" applyFont="1" applyFill="1" applyBorder="1" applyAlignment="1">
      <alignment horizontal="center" vertical="center"/>
    </xf>
    <xf numFmtId="0" fontId="18" fillId="16" borderId="4" xfId="0" applyFont="1" applyFill="1" applyBorder="1" applyAlignment="1">
      <alignment vertical="center"/>
    </xf>
    <xf numFmtId="0" fontId="19" fillId="6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horizontal="center" vertical="center"/>
    </xf>
    <xf numFmtId="0" fontId="18" fillId="18" borderId="4" xfId="0" applyFont="1" applyFill="1" applyBorder="1" applyAlignment="1">
      <alignment vertical="center"/>
    </xf>
    <xf numFmtId="0" fontId="19" fillId="19" borderId="4" xfId="0" applyFont="1" applyFill="1" applyBorder="1" applyAlignment="1">
      <alignment horizontal="center" vertical="center"/>
    </xf>
    <xf numFmtId="0" fontId="19" fillId="20" borderId="4" xfId="0" applyFont="1" applyFill="1" applyBorder="1" applyAlignment="1">
      <alignment horizontal="center" vertical="center"/>
    </xf>
    <xf numFmtId="0" fontId="19" fillId="21" borderId="4" xfId="0" applyFont="1" applyFill="1" applyBorder="1" applyAlignment="1">
      <alignment horizontal="center" vertical="center"/>
    </xf>
    <xf numFmtId="0" fontId="19" fillId="2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8" fillId="25" borderId="4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4" fillId="30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30" fillId="19" borderId="0" xfId="0" applyFont="1" applyFill="1" applyAlignment="1">
      <alignment horizontal="center" vertical="center"/>
    </xf>
    <xf numFmtId="0" fontId="38" fillId="32" borderId="0" xfId="0" applyFont="1" applyFill="1" applyAlignment="1">
      <alignment horizontal="center" vertical="center"/>
    </xf>
    <xf numFmtId="0" fontId="10" fillId="19" borderId="0" xfId="0" applyFont="1" applyFill="1" applyAlignment="1">
      <alignment vertical="center"/>
    </xf>
    <xf numFmtId="0" fontId="30" fillId="20" borderId="0" xfId="0" applyFont="1" applyFill="1" applyAlignment="1">
      <alignment horizontal="center" vertical="center"/>
    </xf>
    <xf numFmtId="0" fontId="41" fillId="35" borderId="0" xfId="0" applyFont="1" applyFill="1" applyAlignment="1">
      <alignment horizontal="center" vertical="center"/>
    </xf>
    <xf numFmtId="0" fontId="10" fillId="20" borderId="0" xfId="0" applyFont="1" applyFill="1" applyAlignment="1">
      <alignment vertical="center"/>
    </xf>
    <xf numFmtId="0" fontId="30" fillId="21" borderId="0" xfId="0" applyFont="1" applyFill="1" applyAlignment="1">
      <alignment horizontal="center" vertical="center"/>
    </xf>
    <xf numFmtId="0" fontId="42" fillId="38" borderId="0" xfId="0" applyFont="1" applyFill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30" fillId="22" borderId="0" xfId="0" applyFont="1" applyFill="1" applyAlignment="1">
      <alignment horizontal="center" vertical="center"/>
    </xf>
    <xf numFmtId="0" fontId="44" fillId="42" borderId="0" xfId="0" applyFont="1" applyFill="1" applyAlignment="1">
      <alignment horizontal="center" vertical="center"/>
    </xf>
    <xf numFmtId="0" fontId="10" fillId="22" borderId="0" xfId="0" applyFont="1" applyFill="1" applyAlignment="1">
      <alignment vertical="center"/>
    </xf>
    <xf numFmtId="164" fontId="43" fillId="38" borderId="2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8F8F8"/>
      <rgbColor rgb="FFF0FFF5"/>
      <rgbColor rgb="FFF4F9FF"/>
      <rgbColor rgb="FFFAEEDA"/>
      <rgbColor rgb="FFFBEAF0"/>
      <rgbColor rgb="FFEBF8FF"/>
      <rgbColor rgb="FF9C0006"/>
      <rgbColor rgb="FF375623"/>
      <rgbColor rgb="FF2C3E50"/>
      <rgbColor rgb="FF7F6000"/>
      <rgbColor rgb="FFFFF0F5"/>
      <rgbColor rgb="FF0F6E56"/>
      <rgbColor rgb="FFCCCCCC"/>
      <rgbColor rgb="FF808080"/>
      <rgbColor rgb="FFEEEDFE"/>
      <rgbColor rgb="FF993556"/>
      <rgbColor rgb="FFFFFDE7"/>
      <rgbColor rgb="FFE1F5EE"/>
      <rgbColor rgb="FF534AB7"/>
      <rgbColor rgb="FFD4537E"/>
      <rgbColor rgb="FF185FA5"/>
      <rgbColor rgb="FFD9E1F2"/>
      <rgbColor rgb="FFFFFBF0"/>
      <rgbColor rgb="FFFDEDEC"/>
      <rgbColor rgb="FFE2EFDA"/>
      <rgbColor rgb="FFEBF3FB"/>
      <rgbColor rgb="FFFFF5F5"/>
      <rgbColor rgb="FF7B241C"/>
      <rgbColor rgb="FF1A5276"/>
      <rgbColor rgb="FFF7FBFF"/>
      <rgbColor rgb="FFF0FFF8"/>
      <rgbColor rgb="FFD6EAF8"/>
      <rgbColor rgb="FFC6EFCE"/>
      <rgbColor rgb="FFFFF2CC"/>
      <rgbColor rgb="FFD6E4F0"/>
      <rgbColor rgb="FFFFE0E0"/>
      <rgbColor rgb="FFDEEBF7"/>
      <rgbColor rgb="FFFADBD8"/>
      <rgbColor rgb="FF2E75B6"/>
      <rgbColor rgb="FF378ADD"/>
      <rgbColor rgb="FFF2F2F2"/>
      <rgbColor rgb="FFFCE4D6"/>
      <rgbColor rgb="FFEF9F27"/>
      <rgbColor rgb="FF854F0B"/>
      <rgbColor rgb="FF595959"/>
      <rgbColor rgb="FFE6F1FB"/>
      <rgbColor rgb="FF17375D"/>
      <rgbColor rgb="FF1D9E75"/>
      <rgbColor rgb="FF085041"/>
      <rgbColor rgb="FF633806"/>
      <rgbColor rgb="FF843C0C"/>
      <rgbColor rgb="FF72243E"/>
      <rgbColor rgb="FF1F306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76"/>
  <sheetViews>
    <sheetView showGridLines="0" tabSelected="1" zoomScaleNormal="100" workbookViewId="0">
      <pane ySplit="2" topLeftCell="A3" activePane="bottomLeft" state="frozen"/>
      <selection pane="bottomLeft" activeCell="D72" sqref="D72:M72"/>
    </sheetView>
  </sheetViews>
  <sheetFormatPr defaultColWidth="8.6640625" defaultRowHeight="14.4" x14ac:dyDescent="0.3"/>
  <cols>
    <col min="1" max="1" width="15" customWidth="1"/>
    <col min="2" max="2" width="10.109375" customWidth="1"/>
    <col min="3" max="3" width="9.21875" customWidth="1"/>
    <col min="4" max="4" width="30.88671875" customWidth="1"/>
    <col min="5" max="13" width="8.44140625" customWidth="1"/>
  </cols>
  <sheetData>
    <row r="1" spans="1:13" ht="37.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.7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21.75" customHeight="1" x14ac:dyDescent="0.3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21.75" customHeight="1" x14ac:dyDescent="0.3">
      <c r="A5" s="10" t="s">
        <v>3</v>
      </c>
      <c r="B5" s="10"/>
      <c r="C5" s="10"/>
      <c r="D5" s="14" t="s">
        <v>4</v>
      </c>
      <c r="E5" s="10" t="s">
        <v>5</v>
      </c>
      <c r="F5" s="10"/>
      <c r="G5" s="10"/>
      <c r="H5" s="10" t="s">
        <v>6</v>
      </c>
      <c r="I5" s="10"/>
      <c r="J5" s="10"/>
      <c r="K5" s="10" t="s">
        <v>7</v>
      </c>
      <c r="L5" s="10"/>
      <c r="M5" s="10"/>
    </row>
    <row r="6" spans="1:13" ht="21.75" customHeight="1" x14ac:dyDescent="0.3">
      <c r="A6" s="9">
        <f>'Recruitment Pipeline'!B27</f>
        <v>20</v>
      </c>
      <c r="B6" s="9"/>
      <c r="C6" s="9"/>
      <c r="D6" s="9">
        <f>'Recruitment Pipeline'!D27</f>
        <v>5</v>
      </c>
      <c r="E6" s="9">
        <f>'Recruitment Pipeline'!F27</f>
        <v>3</v>
      </c>
      <c r="F6" s="9"/>
      <c r="G6" s="9"/>
      <c r="H6" s="9">
        <f>'Recruitment Pipeline'!H27</f>
        <v>11</v>
      </c>
      <c r="I6" s="9"/>
      <c r="J6" s="9"/>
      <c r="K6" s="8">
        <f>'Recruitment Pipeline'!J27</f>
        <v>24.333333333333332</v>
      </c>
      <c r="L6" s="8"/>
      <c r="M6" s="8"/>
    </row>
    <row r="7" spans="1:13" ht="21.75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8"/>
      <c r="L7" s="8"/>
      <c r="M7" s="8"/>
    </row>
    <row r="8" spans="1:13" ht="21.75" customHeight="1" x14ac:dyDescent="0.3">
      <c r="A8" s="7" t="s">
        <v>8</v>
      </c>
      <c r="B8" s="7"/>
      <c r="C8" s="7"/>
      <c r="D8" s="15" t="s">
        <v>8</v>
      </c>
      <c r="E8" s="7" t="s">
        <v>8</v>
      </c>
      <c r="F8" s="7"/>
      <c r="G8" s="7"/>
      <c r="H8" s="7" t="s">
        <v>8</v>
      </c>
      <c r="I8" s="7"/>
      <c r="J8" s="7"/>
      <c r="K8" s="7" t="s">
        <v>9</v>
      </c>
      <c r="L8" s="7"/>
      <c r="M8" s="7"/>
    </row>
    <row r="9" spans="1:13" ht="7.5" customHeight="1" x14ac:dyDescent="0.3"/>
    <row r="10" spans="1:13" ht="19.5" customHeight="1" x14ac:dyDescent="0.3">
      <c r="A10" s="6" t="s">
        <v>10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7.75" customHeight="1" x14ac:dyDescent="0.3">
      <c r="A11" s="16" t="s">
        <v>11</v>
      </c>
      <c r="B11" s="16" t="s">
        <v>12</v>
      </c>
      <c r="C11" s="16" t="s">
        <v>13</v>
      </c>
      <c r="D11" s="156" t="s">
        <v>14</v>
      </c>
      <c r="E11" s="157"/>
    </row>
    <row r="12" spans="1:13" ht="18" customHeight="1" x14ac:dyDescent="0.3">
      <c r="A12" s="17" t="s">
        <v>15</v>
      </c>
      <c r="B12" s="18">
        <v>2</v>
      </c>
      <c r="C12" s="19">
        <v>0.1</v>
      </c>
      <c r="D12" s="17" t="s">
        <v>16</v>
      </c>
    </row>
    <row r="13" spans="1:13" ht="18" customHeight="1" x14ac:dyDescent="0.3">
      <c r="A13" s="17" t="s">
        <v>17</v>
      </c>
      <c r="B13" s="18">
        <v>3</v>
      </c>
      <c r="C13" s="19">
        <v>0.15</v>
      </c>
      <c r="D13" s="17" t="s">
        <v>18</v>
      </c>
    </row>
    <row r="14" spans="1:13" ht="18" customHeight="1" x14ac:dyDescent="0.3">
      <c r="A14" s="17" t="s">
        <v>19</v>
      </c>
      <c r="B14" s="18">
        <v>2</v>
      </c>
      <c r="C14" s="19">
        <v>0.1</v>
      </c>
      <c r="D14" s="17" t="s">
        <v>20</v>
      </c>
    </row>
    <row r="15" spans="1:13" ht="18" customHeight="1" x14ac:dyDescent="0.3">
      <c r="A15" s="17" t="s">
        <v>21</v>
      </c>
      <c r="B15" s="18">
        <v>2</v>
      </c>
      <c r="C15" s="19">
        <v>0.1</v>
      </c>
      <c r="D15" s="17" t="s">
        <v>22</v>
      </c>
    </row>
    <row r="16" spans="1:13" ht="18" customHeight="1" x14ac:dyDescent="0.3">
      <c r="A16" s="17" t="s">
        <v>23</v>
      </c>
      <c r="B16" s="18">
        <v>2</v>
      </c>
      <c r="C16" s="19">
        <v>0.1</v>
      </c>
      <c r="D16" s="17" t="s">
        <v>24</v>
      </c>
    </row>
    <row r="17" spans="1:13" ht="18" customHeight="1" x14ac:dyDescent="0.3">
      <c r="A17" s="17" t="s">
        <v>25</v>
      </c>
      <c r="B17" s="18">
        <v>6</v>
      </c>
      <c r="C17" s="19">
        <v>0.3</v>
      </c>
      <c r="D17" s="17" t="s">
        <v>26</v>
      </c>
    </row>
    <row r="18" spans="1:13" ht="18" customHeight="1" x14ac:dyDescent="0.3">
      <c r="A18" s="17" t="s">
        <v>27</v>
      </c>
      <c r="B18" s="18">
        <v>4</v>
      </c>
      <c r="C18" s="19">
        <v>0.2</v>
      </c>
      <c r="D18" s="17" t="s">
        <v>28</v>
      </c>
    </row>
    <row r="19" spans="1:13" ht="18" customHeight="1" x14ac:dyDescent="0.3">
      <c r="A19" s="17" t="s">
        <v>29</v>
      </c>
      <c r="B19" s="18">
        <v>1</v>
      </c>
      <c r="C19" s="19">
        <v>0.05</v>
      </c>
      <c r="D19" s="17" t="s">
        <v>30</v>
      </c>
    </row>
    <row r="21" spans="1:13" ht="7.5" customHeight="1" x14ac:dyDescent="0.3"/>
    <row r="22" spans="1:13" ht="21.75" customHeight="1" x14ac:dyDescent="0.3">
      <c r="A22" s="5" t="s">
        <v>31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1.75" customHeight="1" x14ac:dyDescent="0.3">
      <c r="A23" s="4" t="s">
        <v>32</v>
      </c>
      <c r="B23" s="4"/>
      <c r="C23" s="4"/>
      <c r="D23" s="20" t="s">
        <v>33</v>
      </c>
      <c r="E23" s="4" t="s">
        <v>34</v>
      </c>
      <c r="F23" s="4"/>
      <c r="G23" s="4"/>
      <c r="H23" s="4" t="s">
        <v>35</v>
      </c>
      <c r="I23" s="4"/>
      <c r="J23" s="4"/>
      <c r="K23" s="4" t="s">
        <v>36</v>
      </c>
      <c r="L23" s="4"/>
      <c r="M23" s="4"/>
    </row>
    <row r="24" spans="1:13" ht="21.75" customHeight="1" x14ac:dyDescent="0.3">
      <c r="A24" s="3">
        <f>'Onboarding Tracker'!B22</f>
        <v>15</v>
      </c>
      <c r="B24" s="3"/>
      <c r="C24" s="3"/>
      <c r="D24" s="3">
        <f>'Onboarding Tracker'!D22</f>
        <v>7</v>
      </c>
      <c r="E24" s="3">
        <f>'Onboarding Tracker'!F22</f>
        <v>7</v>
      </c>
      <c r="F24" s="3"/>
      <c r="G24" s="3"/>
      <c r="H24" s="3">
        <f>'Onboarding Tracker'!H22</f>
        <v>1</v>
      </c>
      <c r="I24" s="3"/>
      <c r="J24" s="3"/>
      <c r="K24" s="2">
        <f>'Onboarding Tracker'!J22</f>
        <v>0.46666666666666667</v>
      </c>
      <c r="L24" s="2"/>
      <c r="M24" s="2"/>
    </row>
    <row r="25" spans="1:13" ht="21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</row>
    <row r="26" spans="1:13" ht="21.75" customHeight="1" x14ac:dyDescent="0.3">
      <c r="A26" s="1" t="s">
        <v>37</v>
      </c>
      <c r="B26" s="1"/>
      <c r="C26" s="1"/>
      <c r="D26" s="21" t="s">
        <v>37</v>
      </c>
      <c r="E26" s="1" t="s">
        <v>37</v>
      </c>
      <c r="F26" s="1"/>
      <c r="G26" s="1"/>
      <c r="H26" s="1" t="s">
        <v>37</v>
      </c>
      <c r="I26" s="1"/>
      <c r="J26" s="1"/>
      <c r="K26" s="1" t="s">
        <v>38</v>
      </c>
      <c r="L26" s="1"/>
      <c r="M26" s="1"/>
    </row>
    <row r="27" spans="1:13" ht="7.5" customHeight="1" x14ac:dyDescent="0.3"/>
    <row r="28" spans="1:13" ht="19.5" customHeight="1" x14ac:dyDescent="0.3">
      <c r="A28" s="111" t="s">
        <v>39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</row>
    <row r="29" spans="1:13" ht="27" customHeight="1" x14ac:dyDescent="0.3">
      <c r="A29" s="22" t="s">
        <v>40</v>
      </c>
      <c r="B29" s="22" t="s">
        <v>41</v>
      </c>
      <c r="C29" s="22" t="s">
        <v>42</v>
      </c>
      <c r="D29" s="22" t="s">
        <v>43</v>
      </c>
    </row>
    <row r="30" spans="1:13" ht="18" customHeight="1" x14ac:dyDescent="0.3">
      <c r="A30" s="17" t="s">
        <v>44</v>
      </c>
      <c r="B30" s="18">
        <v>15</v>
      </c>
      <c r="C30" s="19">
        <v>1</v>
      </c>
      <c r="D30" s="23" t="s">
        <v>45</v>
      </c>
    </row>
    <row r="31" spans="1:13" ht="18" customHeight="1" x14ac:dyDescent="0.3">
      <c r="A31" s="17" t="s">
        <v>46</v>
      </c>
      <c r="B31" s="18">
        <v>15</v>
      </c>
      <c r="C31" s="19">
        <v>1</v>
      </c>
      <c r="D31" s="23" t="s">
        <v>45</v>
      </c>
    </row>
    <row r="32" spans="1:13" ht="18" customHeight="1" x14ac:dyDescent="0.3">
      <c r="A32" s="17" t="s">
        <v>47</v>
      </c>
      <c r="B32" s="18">
        <v>15</v>
      </c>
      <c r="C32" s="19">
        <v>1</v>
      </c>
      <c r="D32" s="23" t="s">
        <v>45</v>
      </c>
    </row>
    <row r="33" spans="1:13" ht="18" customHeight="1" x14ac:dyDescent="0.3">
      <c r="A33" s="17" t="s">
        <v>48</v>
      </c>
      <c r="B33" s="18">
        <v>15</v>
      </c>
      <c r="C33" s="19">
        <v>1</v>
      </c>
      <c r="D33" s="23" t="s">
        <v>45</v>
      </c>
    </row>
    <row r="34" spans="1:13" ht="18" customHeight="1" x14ac:dyDescent="0.3">
      <c r="A34" s="17" t="s">
        <v>49</v>
      </c>
      <c r="B34" s="18">
        <v>14</v>
      </c>
      <c r="C34" s="19">
        <v>0.93333333333333302</v>
      </c>
      <c r="D34" s="23" t="s">
        <v>45</v>
      </c>
    </row>
    <row r="35" spans="1:13" ht="18" customHeight="1" x14ac:dyDescent="0.3">
      <c r="A35" s="17" t="s">
        <v>50</v>
      </c>
      <c r="B35" s="18">
        <v>14</v>
      </c>
      <c r="C35" s="19">
        <v>0.93333333333333302</v>
      </c>
      <c r="D35" s="23" t="s">
        <v>45</v>
      </c>
    </row>
    <row r="36" spans="1:13" ht="18" customHeight="1" x14ac:dyDescent="0.3">
      <c r="A36" s="17" t="s">
        <v>51</v>
      </c>
      <c r="B36" s="18">
        <v>10</v>
      </c>
      <c r="C36" s="19">
        <v>0.66666666666666696</v>
      </c>
      <c r="D36" s="24" t="s">
        <v>52</v>
      </c>
    </row>
    <row r="37" spans="1:13" ht="18" customHeight="1" x14ac:dyDescent="0.3">
      <c r="A37" s="17" t="s">
        <v>53</v>
      </c>
      <c r="B37" s="18">
        <v>6</v>
      </c>
      <c r="C37" s="19">
        <v>0.4</v>
      </c>
      <c r="D37" s="24" t="s">
        <v>52</v>
      </c>
    </row>
    <row r="39" spans="1:13" ht="7.5" customHeight="1" x14ac:dyDescent="0.3"/>
    <row r="40" spans="1:13" ht="21.75" customHeight="1" x14ac:dyDescent="0.3">
      <c r="A40" s="112" t="s">
        <v>54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</row>
    <row r="41" spans="1:13" ht="21.75" customHeight="1" x14ac:dyDescent="0.3">
      <c r="A41" s="113" t="s">
        <v>55</v>
      </c>
      <c r="B41" s="113"/>
      <c r="C41" s="113"/>
      <c r="D41" s="25" t="s">
        <v>56</v>
      </c>
      <c r="E41" s="113" t="s">
        <v>57</v>
      </c>
      <c r="F41" s="113"/>
      <c r="G41" s="113"/>
      <c r="H41" s="113" t="s">
        <v>58</v>
      </c>
      <c r="I41" s="113"/>
      <c r="J41" s="113"/>
      <c r="K41" s="113" t="s">
        <v>59</v>
      </c>
      <c r="L41" s="113"/>
      <c r="M41" s="113"/>
    </row>
    <row r="42" spans="1:13" ht="21.75" customHeight="1" x14ac:dyDescent="0.3">
      <c r="A42" s="114">
        <f>'Attrition Data'!B25</f>
        <v>18</v>
      </c>
      <c r="B42" s="114"/>
      <c r="C42" s="114"/>
      <c r="D42" s="114">
        <f>'Attrition Data'!D25</f>
        <v>14</v>
      </c>
      <c r="E42" s="114">
        <f>'Attrition Data'!F25</f>
        <v>4</v>
      </c>
      <c r="F42" s="114"/>
      <c r="G42" s="114"/>
      <c r="H42" s="115">
        <f>'Attrition Data'!H25</f>
        <v>29.444444444444443</v>
      </c>
      <c r="I42" s="115"/>
      <c r="J42" s="115"/>
      <c r="K42" s="114">
        <f>'Attrition Data'!J25</f>
        <v>15</v>
      </c>
      <c r="L42" s="114"/>
      <c r="M42" s="114"/>
    </row>
    <row r="43" spans="1:13" ht="21.75" customHeight="1" x14ac:dyDescent="0.3">
      <c r="A43" s="114"/>
      <c r="B43" s="114"/>
      <c r="C43" s="114"/>
      <c r="D43" s="114"/>
      <c r="E43" s="114"/>
      <c r="F43" s="114"/>
      <c r="G43" s="114"/>
      <c r="H43" s="115"/>
      <c r="I43" s="115"/>
      <c r="J43" s="115"/>
      <c r="K43" s="114"/>
      <c r="L43" s="114"/>
      <c r="M43" s="114"/>
    </row>
    <row r="44" spans="1:13" ht="21.75" customHeight="1" x14ac:dyDescent="0.3">
      <c r="A44" s="116" t="s">
        <v>60</v>
      </c>
      <c r="B44" s="116"/>
      <c r="C44" s="116"/>
      <c r="D44" s="26" t="s">
        <v>60</v>
      </c>
      <c r="E44" s="116" t="s">
        <v>60</v>
      </c>
      <c r="F44" s="116"/>
      <c r="G44" s="116"/>
      <c r="H44" s="116" t="s">
        <v>61</v>
      </c>
      <c r="I44" s="116"/>
      <c r="J44" s="116"/>
      <c r="K44" s="116" t="s">
        <v>60</v>
      </c>
      <c r="L44" s="116"/>
      <c r="M44" s="116"/>
    </row>
    <row r="45" spans="1:13" ht="7.5" customHeight="1" x14ac:dyDescent="0.3"/>
    <row r="46" spans="1:13" ht="19.5" customHeight="1" x14ac:dyDescent="0.3">
      <c r="A46" s="117" t="s">
        <v>62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</row>
    <row r="47" spans="1:13" ht="24" customHeight="1" x14ac:dyDescent="0.3">
      <c r="A47" s="27" t="s">
        <v>63</v>
      </c>
      <c r="B47" s="27" t="s">
        <v>64</v>
      </c>
      <c r="C47" s="27" t="s">
        <v>13</v>
      </c>
      <c r="D47" s="27" t="s">
        <v>65</v>
      </c>
    </row>
    <row r="48" spans="1:13" ht="18" customHeight="1" x14ac:dyDescent="0.3">
      <c r="A48" s="17" t="s">
        <v>66</v>
      </c>
      <c r="B48" s="18">
        <v>6</v>
      </c>
      <c r="C48" s="19">
        <v>0.28571428571428598</v>
      </c>
      <c r="D48" s="17" t="s">
        <v>67</v>
      </c>
    </row>
    <row r="49" spans="1:13" ht="18" customHeight="1" x14ac:dyDescent="0.3">
      <c r="A49" s="17" t="s">
        <v>68</v>
      </c>
      <c r="B49" s="18">
        <v>3</v>
      </c>
      <c r="C49" s="19">
        <v>0.14285714285714299</v>
      </c>
      <c r="D49" s="17" t="s">
        <v>69</v>
      </c>
    </row>
    <row r="50" spans="1:13" ht="18" customHeight="1" x14ac:dyDescent="0.3">
      <c r="A50" s="17" t="s">
        <v>70</v>
      </c>
      <c r="B50" s="18">
        <v>3</v>
      </c>
      <c r="C50" s="19">
        <v>0.14285714285714299</v>
      </c>
      <c r="D50" s="17" t="s">
        <v>71</v>
      </c>
    </row>
    <row r="51" spans="1:13" ht="18" customHeight="1" x14ac:dyDescent="0.3">
      <c r="A51" s="17" t="s">
        <v>72</v>
      </c>
      <c r="B51" s="18">
        <v>2</v>
      </c>
      <c r="C51" s="19">
        <v>9.5238095238095205E-2</v>
      </c>
      <c r="D51" s="17" t="s">
        <v>73</v>
      </c>
    </row>
    <row r="52" spans="1:13" ht="18" customHeight="1" x14ac:dyDescent="0.3">
      <c r="A52" s="17" t="s">
        <v>74</v>
      </c>
      <c r="B52" s="18">
        <v>2</v>
      </c>
      <c r="C52" s="19">
        <v>9.5238095238095205E-2</v>
      </c>
      <c r="D52" s="17" t="s">
        <v>75</v>
      </c>
    </row>
    <row r="53" spans="1:13" ht="18" customHeight="1" x14ac:dyDescent="0.3">
      <c r="A53" s="17" t="s">
        <v>76</v>
      </c>
      <c r="B53" s="18">
        <v>1</v>
      </c>
      <c r="C53" s="19">
        <v>4.7619047619047603E-2</v>
      </c>
      <c r="D53" s="17" t="s">
        <v>77</v>
      </c>
    </row>
    <row r="54" spans="1:13" ht="18" customHeight="1" x14ac:dyDescent="0.3">
      <c r="A54" s="17" t="s">
        <v>78</v>
      </c>
      <c r="B54" s="18">
        <v>1</v>
      </c>
      <c r="C54" s="19">
        <v>4.7619047619047603E-2</v>
      </c>
      <c r="D54" s="17" t="s">
        <v>79</v>
      </c>
    </row>
    <row r="55" spans="1:13" ht="18" customHeight="1" x14ac:dyDescent="0.3">
      <c r="A55" s="17" t="s">
        <v>80</v>
      </c>
      <c r="B55" s="18">
        <v>1</v>
      </c>
      <c r="C55" s="19">
        <v>4.7619047619047603E-2</v>
      </c>
      <c r="D55" s="17" t="s">
        <v>81</v>
      </c>
    </row>
    <row r="56" spans="1:13" ht="18" customHeight="1" x14ac:dyDescent="0.3">
      <c r="A56" s="17" t="s">
        <v>82</v>
      </c>
      <c r="B56" s="18">
        <v>2</v>
      </c>
      <c r="C56" s="19">
        <v>9.5238095238095205E-2</v>
      </c>
      <c r="D56" s="17" t="s">
        <v>83</v>
      </c>
    </row>
    <row r="58" spans="1:13" ht="7.5" customHeight="1" x14ac:dyDescent="0.3"/>
    <row r="59" spans="1:13" ht="19.5" customHeight="1" x14ac:dyDescent="0.3">
      <c r="A59" s="118" t="s">
        <v>84</v>
      </c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</row>
    <row r="60" spans="1:13" ht="18" customHeight="1" x14ac:dyDescent="0.3">
      <c r="A60" s="28" t="s">
        <v>85</v>
      </c>
      <c r="B60" s="119" t="s">
        <v>86</v>
      </c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</row>
    <row r="61" spans="1:13" ht="18" customHeight="1" x14ac:dyDescent="0.3">
      <c r="A61" s="28" t="s">
        <v>87</v>
      </c>
      <c r="B61" s="119" t="s">
        <v>88</v>
      </c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</row>
    <row r="62" spans="1:13" ht="18" customHeight="1" x14ac:dyDescent="0.3">
      <c r="A62" s="28" t="s">
        <v>89</v>
      </c>
      <c r="B62" s="119" t="s">
        <v>90</v>
      </c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1:13" ht="18" customHeight="1" x14ac:dyDescent="0.3">
      <c r="A63" s="28" t="s">
        <v>91</v>
      </c>
      <c r="B63" s="119" t="s">
        <v>92</v>
      </c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</row>
    <row r="64" spans="1:13" ht="18" customHeight="1" x14ac:dyDescent="0.3">
      <c r="A64" s="28" t="s">
        <v>93</v>
      </c>
      <c r="B64" s="119" t="s">
        <v>94</v>
      </c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</row>
    <row r="66" spans="1:13" ht="9.75" customHeight="1" x14ac:dyDescent="0.3"/>
    <row r="67" spans="1:13" ht="21.75" customHeight="1" x14ac:dyDescent="0.3">
      <c r="A67" s="120" t="s">
        <v>550</v>
      </c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</row>
    <row r="68" spans="1:13" ht="18" customHeight="1" x14ac:dyDescent="0.3">
      <c r="A68" s="121" t="s">
        <v>95</v>
      </c>
      <c r="B68" s="121"/>
      <c r="C68" s="121"/>
      <c r="D68" s="122" t="s">
        <v>551</v>
      </c>
      <c r="E68" s="122"/>
      <c r="F68" s="122"/>
      <c r="G68" s="122"/>
      <c r="H68" s="122"/>
      <c r="I68" s="122"/>
      <c r="J68" s="122"/>
      <c r="K68" s="122"/>
      <c r="L68" s="122"/>
      <c r="M68" s="122"/>
    </row>
    <row r="69" spans="1:13" ht="18" customHeight="1" x14ac:dyDescent="0.3">
      <c r="A69" s="123" t="s">
        <v>96</v>
      </c>
      <c r="B69" s="123"/>
      <c r="C69" s="123"/>
      <c r="D69" s="124" t="s">
        <v>97</v>
      </c>
      <c r="E69" s="124"/>
      <c r="F69" s="124"/>
      <c r="G69" s="124"/>
      <c r="H69" s="124"/>
      <c r="I69" s="124"/>
      <c r="J69" s="124"/>
      <c r="K69" s="124"/>
      <c r="L69" s="124"/>
      <c r="M69" s="124"/>
    </row>
    <row r="70" spans="1:13" ht="18" customHeight="1" x14ac:dyDescent="0.3">
      <c r="A70" s="125" t="s">
        <v>98</v>
      </c>
      <c r="B70" s="125"/>
      <c r="C70" s="125"/>
      <c r="D70" s="122" t="s">
        <v>99</v>
      </c>
      <c r="E70" s="122"/>
      <c r="F70" s="122"/>
      <c r="G70" s="122"/>
      <c r="H70" s="122"/>
      <c r="I70" s="122"/>
      <c r="J70" s="122"/>
      <c r="K70" s="122"/>
      <c r="L70" s="122"/>
      <c r="M70" s="122"/>
    </row>
    <row r="71" spans="1:13" ht="18" customHeight="1" x14ac:dyDescent="0.3">
      <c r="A71" s="126" t="s">
        <v>100</v>
      </c>
      <c r="B71" s="126"/>
      <c r="C71" s="126"/>
      <c r="D71" s="124" t="s">
        <v>101</v>
      </c>
      <c r="E71" s="124"/>
      <c r="F71" s="124"/>
      <c r="G71" s="124"/>
      <c r="H71" s="124"/>
      <c r="I71" s="124"/>
      <c r="J71" s="124"/>
      <c r="K71" s="124"/>
      <c r="L71" s="124"/>
      <c r="M71" s="124"/>
    </row>
    <row r="72" spans="1:13" ht="18" customHeight="1" x14ac:dyDescent="0.3">
      <c r="A72" s="127" t="s">
        <v>102</v>
      </c>
      <c r="B72" s="127"/>
      <c r="C72" s="127"/>
      <c r="D72" s="128" t="s">
        <v>537</v>
      </c>
      <c r="E72" s="128"/>
      <c r="F72" s="128"/>
      <c r="G72" s="128"/>
      <c r="H72" s="128"/>
      <c r="I72" s="128"/>
      <c r="J72" s="128"/>
      <c r="K72" s="128"/>
      <c r="L72" s="128"/>
      <c r="M72" s="128"/>
    </row>
    <row r="73" spans="1:13" ht="18" customHeight="1" x14ac:dyDescent="0.3">
      <c r="A73" s="129" t="s">
        <v>103</v>
      </c>
      <c r="B73" s="129"/>
      <c r="C73" s="129"/>
      <c r="D73" s="128" t="s">
        <v>538</v>
      </c>
      <c r="E73" s="128"/>
      <c r="F73" s="128"/>
      <c r="G73" s="128"/>
      <c r="H73" s="128"/>
      <c r="I73" s="128"/>
      <c r="J73" s="128"/>
      <c r="K73" s="128"/>
      <c r="L73" s="128"/>
      <c r="M73" s="128"/>
    </row>
    <row r="74" spans="1:13" ht="18" customHeight="1" x14ac:dyDescent="0.3">
      <c r="A74" s="130" t="s">
        <v>104</v>
      </c>
      <c r="B74" s="130"/>
      <c r="C74" s="130"/>
      <c r="D74" s="128" t="s">
        <v>539</v>
      </c>
      <c r="E74" s="128"/>
      <c r="F74" s="128"/>
      <c r="G74" s="128"/>
      <c r="H74" s="128"/>
      <c r="I74" s="128"/>
      <c r="J74" s="128"/>
      <c r="K74" s="128"/>
      <c r="L74" s="128"/>
      <c r="M74" s="128"/>
    </row>
    <row r="75" spans="1:13" ht="18" customHeight="1" x14ac:dyDescent="0.3">
      <c r="A75" s="131" t="s">
        <v>105</v>
      </c>
      <c r="B75" s="131"/>
      <c r="C75" s="131"/>
      <c r="D75" s="128" t="s">
        <v>540</v>
      </c>
      <c r="E75" s="128"/>
      <c r="F75" s="128"/>
      <c r="G75" s="128"/>
      <c r="H75" s="128"/>
      <c r="I75" s="128"/>
      <c r="J75" s="128"/>
      <c r="K75" s="128"/>
      <c r="L75" s="128"/>
      <c r="M75" s="128"/>
    </row>
    <row r="76" spans="1:13" ht="18" customHeight="1" x14ac:dyDescent="0.3">
      <c r="A76" s="132" t="s">
        <v>106</v>
      </c>
      <c r="B76" s="132"/>
      <c r="C76" s="132"/>
      <c r="D76" s="128" t="s">
        <v>541</v>
      </c>
      <c r="E76" s="128"/>
      <c r="F76" s="128"/>
      <c r="G76" s="128"/>
      <c r="H76" s="128"/>
      <c r="I76" s="128"/>
      <c r="J76" s="128"/>
      <c r="K76" s="128"/>
      <c r="L76" s="128"/>
      <c r="M76" s="128"/>
    </row>
  </sheetData>
  <mergeCells count="72">
    <mergeCell ref="A75:C75"/>
    <mergeCell ref="D75:M75"/>
    <mergeCell ref="A76:C76"/>
    <mergeCell ref="D76:M76"/>
    <mergeCell ref="A72:C72"/>
    <mergeCell ref="D72:M72"/>
    <mergeCell ref="A73:C73"/>
    <mergeCell ref="D73:M73"/>
    <mergeCell ref="A74:C74"/>
    <mergeCell ref="D74:M74"/>
    <mergeCell ref="A69:C69"/>
    <mergeCell ref="D69:M69"/>
    <mergeCell ref="A70:C70"/>
    <mergeCell ref="D70:M70"/>
    <mergeCell ref="A71:C71"/>
    <mergeCell ref="D71:M71"/>
    <mergeCell ref="B63:M63"/>
    <mergeCell ref="B64:M64"/>
    <mergeCell ref="A67:M67"/>
    <mergeCell ref="A68:C68"/>
    <mergeCell ref="D68:M68"/>
    <mergeCell ref="A46:M46"/>
    <mergeCell ref="A59:M59"/>
    <mergeCell ref="B60:M60"/>
    <mergeCell ref="B61:M61"/>
    <mergeCell ref="B62:M62"/>
    <mergeCell ref="A44:C44"/>
    <mergeCell ref="E44:G44"/>
    <mergeCell ref="H44:J44"/>
    <mergeCell ref="K44:M44"/>
    <mergeCell ref="A42:C43"/>
    <mergeCell ref="D42:D43"/>
    <mergeCell ref="E42:G43"/>
    <mergeCell ref="H42:J43"/>
    <mergeCell ref="K42:M43"/>
    <mergeCell ref="A28:M28"/>
    <mergeCell ref="A40:M40"/>
    <mergeCell ref="A41:C41"/>
    <mergeCell ref="E41:G41"/>
    <mergeCell ref="H41:J41"/>
    <mergeCell ref="K41:M41"/>
    <mergeCell ref="A26:C26"/>
    <mergeCell ref="E26:G26"/>
    <mergeCell ref="H26:J26"/>
    <mergeCell ref="K26:M26"/>
    <mergeCell ref="A24:C25"/>
    <mergeCell ref="D24:D25"/>
    <mergeCell ref="E24:G25"/>
    <mergeCell ref="H24:J25"/>
    <mergeCell ref="K24:M25"/>
    <mergeCell ref="A10:M10"/>
    <mergeCell ref="A22:M22"/>
    <mergeCell ref="A23:C23"/>
    <mergeCell ref="E23:G23"/>
    <mergeCell ref="H23:J23"/>
    <mergeCell ref="K23:M23"/>
    <mergeCell ref="A8:C8"/>
    <mergeCell ref="E8:G8"/>
    <mergeCell ref="H8:J8"/>
    <mergeCell ref="K8:M8"/>
    <mergeCell ref="A6:C7"/>
    <mergeCell ref="D6:D7"/>
    <mergeCell ref="E6:G7"/>
    <mergeCell ref="H6:J7"/>
    <mergeCell ref="K6:M7"/>
    <mergeCell ref="A1:M1"/>
    <mergeCell ref="A2:M2"/>
    <mergeCell ref="A4:M4"/>
    <mergeCell ref="A5:C5"/>
    <mergeCell ref="E5:G5"/>
    <mergeCell ref="H5:J5"/>
    <mergeCell ref="K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27"/>
  <sheetViews>
    <sheetView zoomScaleNormal="100" workbookViewId="0">
      <pane ySplit="3" topLeftCell="A4" activePane="bottomLeft" state="frozen"/>
      <selection pane="bottomLeft" activeCell="F27" sqref="F27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6" customWidth="1"/>
    <col min="4" max="5" width="18" customWidth="1"/>
    <col min="6" max="6" width="13" customWidth="1"/>
    <col min="7" max="7" width="16" customWidth="1"/>
    <col min="8" max="8" width="18" customWidth="1"/>
    <col min="9" max="11" width="13" customWidth="1"/>
    <col min="12" max="13" width="12" customWidth="1"/>
    <col min="14" max="14" width="28" customWidth="1"/>
  </cols>
  <sheetData>
    <row r="1" spans="1:14" ht="30" customHeight="1" x14ac:dyDescent="0.3">
      <c r="A1" s="133" t="s">
        <v>543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5.75" customHeight="1" x14ac:dyDescent="0.3">
      <c r="A2" s="134" t="s">
        <v>107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21.75" customHeight="1" x14ac:dyDescent="0.3">
      <c r="A3" s="29" t="s">
        <v>108</v>
      </c>
      <c r="B3" s="29" t="s">
        <v>109</v>
      </c>
      <c r="C3" s="29" t="s">
        <v>110</v>
      </c>
      <c r="D3" s="29" t="s">
        <v>63</v>
      </c>
      <c r="E3" s="29" t="s">
        <v>111</v>
      </c>
      <c r="F3" s="29" t="s">
        <v>112</v>
      </c>
      <c r="G3" s="29" t="s">
        <v>113</v>
      </c>
      <c r="H3" s="29" t="s">
        <v>114</v>
      </c>
      <c r="I3" s="29" t="s">
        <v>115</v>
      </c>
      <c r="J3" s="29" t="s">
        <v>116</v>
      </c>
      <c r="K3" s="29" t="s">
        <v>117</v>
      </c>
      <c r="L3" s="29" t="s">
        <v>118</v>
      </c>
      <c r="M3" s="29" t="s">
        <v>43</v>
      </c>
      <c r="N3" s="29" t="s">
        <v>119</v>
      </c>
    </row>
    <row r="4" spans="1:14" ht="18" customHeight="1" x14ac:dyDescent="0.3">
      <c r="A4" s="30" t="s">
        <v>120</v>
      </c>
      <c r="B4" s="30" t="s">
        <v>121</v>
      </c>
      <c r="C4" s="30" t="s">
        <v>122</v>
      </c>
      <c r="D4" s="30" t="s">
        <v>66</v>
      </c>
      <c r="E4" s="30" t="s">
        <v>123</v>
      </c>
      <c r="F4" s="31">
        <v>45662</v>
      </c>
      <c r="G4" s="32" t="s">
        <v>25</v>
      </c>
      <c r="H4" s="30" t="s">
        <v>124</v>
      </c>
      <c r="I4" s="31">
        <v>45672</v>
      </c>
      <c r="J4" s="31">
        <v>45682</v>
      </c>
      <c r="K4" s="31">
        <v>45689</v>
      </c>
      <c r="L4" s="33">
        <v>27</v>
      </c>
      <c r="M4" s="34" t="s">
        <v>125</v>
      </c>
      <c r="N4" s="30" t="s">
        <v>126</v>
      </c>
    </row>
    <row r="5" spans="1:14" ht="18" customHeight="1" x14ac:dyDescent="0.3">
      <c r="A5" s="35" t="s">
        <v>127</v>
      </c>
      <c r="B5" s="35" t="s">
        <v>128</v>
      </c>
      <c r="C5" s="35" t="s">
        <v>129</v>
      </c>
      <c r="D5" s="35" t="s">
        <v>68</v>
      </c>
      <c r="E5" s="35" t="s">
        <v>130</v>
      </c>
      <c r="F5" s="36">
        <v>45665</v>
      </c>
      <c r="G5" s="32" t="s">
        <v>25</v>
      </c>
      <c r="H5" s="35" t="s">
        <v>131</v>
      </c>
      <c r="I5" s="36">
        <v>45677</v>
      </c>
      <c r="J5" s="36">
        <v>45687</v>
      </c>
      <c r="K5" s="36">
        <v>45698</v>
      </c>
      <c r="L5" s="37">
        <v>33</v>
      </c>
      <c r="M5" s="34" t="s">
        <v>125</v>
      </c>
      <c r="N5" s="35" t="s">
        <v>132</v>
      </c>
    </row>
    <row r="6" spans="1:14" ht="18" customHeight="1" x14ac:dyDescent="0.3">
      <c r="A6" s="30" t="s">
        <v>133</v>
      </c>
      <c r="B6" s="30" t="s">
        <v>134</v>
      </c>
      <c r="C6" s="30" t="s">
        <v>135</v>
      </c>
      <c r="D6" s="30" t="s">
        <v>70</v>
      </c>
      <c r="E6" s="30" t="s">
        <v>136</v>
      </c>
      <c r="F6" s="31">
        <v>45667</v>
      </c>
      <c r="G6" s="38" t="s">
        <v>27</v>
      </c>
      <c r="H6" s="30" t="s">
        <v>137</v>
      </c>
      <c r="I6" s="31">
        <v>45679</v>
      </c>
      <c r="J6" s="30"/>
      <c r="K6" s="31">
        <v>45693</v>
      </c>
      <c r="L6" s="33">
        <v>26</v>
      </c>
      <c r="M6" s="34" t="s">
        <v>125</v>
      </c>
      <c r="N6" s="30" t="s">
        <v>138</v>
      </c>
    </row>
    <row r="7" spans="1:14" ht="18" customHeight="1" x14ac:dyDescent="0.3">
      <c r="A7" s="35" t="s">
        <v>139</v>
      </c>
      <c r="B7" s="35" t="s">
        <v>140</v>
      </c>
      <c r="C7" s="35" t="s">
        <v>141</v>
      </c>
      <c r="D7" s="35" t="s">
        <v>82</v>
      </c>
      <c r="E7" s="35" t="s">
        <v>123</v>
      </c>
      <c r="F7" s="36">
        <v>45672</v>
      </c>
      <c r="G7" s="39" t="s">
        <v>21</v>
      </c>
      <c r="H7" s="35" t="s">
        <v>142</v>
      </c>
      <c r="I7" s="36">
        <v>45698</v>
      </c>
      <c r="J7" s="35"/>
      <c r="K7" s="35"/>
      <c r="L7" s="40">
        <f>IFERROR(K7-F7,"-")</f>
        <v>-45672</v>
      </c>
      <c r="M7" s="28" t="s">
        <v>34</v>
      </c>
      <c r="N7" s="35" t="s">
        <v>143</v>
      </c>
    </row>
    <row r="8" spans="1:14" ht="18" customHeight="1" x14ac:dyDescent="0.3">
      <c r="A8" s="30" t="s">
        <v>144</v>
      </c>
      <c r="B8" s="30" t="s">
        <v>145</v>
      </c>
      <c r="C8" s="30" t="s">
        <v>146</v>
      </c>
      <c r="D8" s="30" t="s">
        <v>147</v>
      </c>
      <c r="E8" s="30" t="s">
        <v>148</v>
      </c>
      <c r="F8" s="31">
        <v>45675</v>
      </c>
      <c r="G8" s="32" t="s">
        <v>25</v>
      </c>
      <c r="H8" s="30" t="s">
        <v>149</v>
      </c>
      <c r="I8" s="31">
        <v>45685</v>
      </c>
      <c r="J8" s="31">
        <v>45693</v>
      </c>
      <c r="K8" s="31">
        <v>45703</v>
      </c>
      <c r="L8" s="33">
        <v>28</v>
      </c>
      <c r="M8" s="34" t="s">
        <v>125</v>
      </c>
      <c r="N8" s="30" t="s">
        <v>150</v>
      </c>
    </row>
    <row r="9" spans="1:14" ht="18" customHeight="1" x14ac:dyDescent="0.3">
      <c r="A9" s="35" t="s">
        <v>151</v>
      </c>
      <c r="B9" s="35" t="s">
        <v>152</v>
      </c>
      <c r="C9" s="35" t="s">
        <v>153</v>
      </c>
      <c r="D9" s="35" t="s">
        <v>74</v>
      </c>
      <c r="E9" s="35" t="s">
        <v>154</v>
      </c>
      <c r="F9" s="36">
        <v>45677</v>
      </c>
      <c r="G9" s="41" t="s">
        <v>23</v>
      </c>
      <c r="H9" s="35" t="s">
        <v>155</v>
      </c>
      <c r="I9" s="36">
        <v>45690</v>
      </c>
      <c r="J9" s="36">
        <v>45708</v>
      </c>
      <c r="K9" s="35"/>
      <c r="L9" s="40">
        <f>IFERROR(K9-F9,"-")</f>
        <v>-45677</v>
      </c>
      <c r="M9" s="28" t="s">
        <v>34</v>
      </c>
      <c r="N9" s="35" t="s">
        <v>156</v>
      </c>
    </row>
    <row r="10" spans="1:14" ht="18" customHeight="1" x14ac:dyDescent="0.3">
      <c r="A10" s="30" t="s">
        <v>157</v>
      </c>
      <c r="B10" s="30" t="s">
        <v>158</v>
      </c>
      <c r="C10" s="30" t="s">
        <v>159</v>
      </c>
      <c r="D10" s="30" t="s">
        <v>70</v>
      </c>
      <c r="E10" s="30" t="s">
        <v>123</v>
      </c>
      <c r="F10" s="31">
        <v>45679</v>
      </c>
      <c r="G10" s="42" t="s">
        <v>17</v>
      </c>
      <c r="H10" s="30" t="s">
        <v>137</v>
      </c>
      <c r="I10" s="31">
        <v>45693</v>
      </c>
      <c r="J10" s="30"/>
      <c r="K10" s="30"/>
      <c r="L10" s="43">
        <f>IFERROR(K10-F10,"-")</f>
        <v>-45679</v>
      </c>
      <c r="M10" s="28" t="s">
        <v>34</v>
      </c>
      <c r="N10" s="30" t="s">
        <v>160</v>
      </c>
    </row>
    <row r="11" spans="1:14" ht="18" customHeight="1" x14ac:dyDescent="0.3">
      <c r="A11" s="35" t="s">
        <v>161</v>
      </c>
      <c r="B11" s="35" t="s">
        <v>162</v>
      </c>
      <c r="C11" s="35" t="s">
        <v>163</v>
      </c>
      <c r="D11" s="35" t="s">
        <v>78</v>
      </c>
      <c r="E11" s="35" t="s">
        <v>130</v>
      </c>
      <c r="F11" s="36">
        <v>45682</v>
      </c>
      <c r="G11" s="44" t="s">
        <v>15</v>
      </c>
      <c r="H11" s="35" t="s">
        <v>164</v>
      </c>
      <c r="I11" s="35"/>
      <c r="J11" s="35"/>
      <c r="K11" s="35"/>
      <c r="L11" s="40">
        <f>IFERROR(K11-F11,"-")</f>
        <v>-45682</v>
      </c>
      <c r="M11" s="28" t="s">
        <v>34</v>
      </c>
      <c r="N11" s="35" t="s">
        <v>165</v>
      </c>
    </row>
    <row r="12" spans="1:14" ht="18" customHeight="1" x14ac:dyDescent="0.3">
      <c r="A12" s="30" t="s">
        <v>166</v>
      </c>
      <c r="B12" s="30" t="s">
        <v>167</v>
      </c>
      <c r="C12" s="30" t="s">
        <v>168</v>
      </c>
      <c r="D12" s="30" t="s">
        <v>66</v>
      </c>
      <c r="E12" s="30" t="s">
        <v>169</v>
      </c>
      <c r="F12" s="31">
        <v>45685</v>
      </c>
      <c r="G12" s="38" t="s">
        <v>27</v>
      </c>
      <c r="H12" s="30" t="s">
        <v>124</v>
      </c>
      <c r="I12" s="31">
        <v>45696</v>
      </c>
      <c r="J12" s="30"/>
      <c r="K12" s="31">
        <v>45703</v>
      </c>
      <c r="L12" s="33">
        <v>18</v>
      </c>
      <c r="M12" s="34" t="s">
        <v>125</v>
      </c>
      <c r="N12" s="30" t="s">
        <v>170</v>
      </c>
    </row>
    <row r="13" spans="1:14" ht="18" customHeight="1" x14ac:dyDescent="0.3">
      <c r="A13" s="35" t="s">
        <v>171</v>
      </c>
      <c r="B13" s="35" t="s">
        <v>172</v>
      </c>
      <c r="C13" s="35" t="s">
        <v>173</v>
      </c>
      <c r="D13" s="35" t="s">
        <v>80</v>
      </c>
      <c r="E13" s="35" t="s">
        <v>174</v>
      </c>
      <c r="F13" s="36">
        <v>45689</v>
      </c>
      <c r="G13" s="45" t="s">
        <v>19</v>
      </c>
      <c r="H13" s="35" t="s">
        <v>131</v>
      </c>
      <c r="I13" s="36">
        <v>45703</v>
      </c>
      <c r="J13" s="35"/>
      <c r="K13" s="35"/>
      <c r="L13" s="40">
        <f>IFERROR(K13-F13,"-")</f>
        <v>-45689</v>
      </c>
      <c r="M13" s="28" t="s">
        <v>34</v>
      </c>
      <c r="N13" s="35" t="s">
        <v>175</v>
      </c>
    </row>
    <row r="14" spans="1:14" ht="18" customHeight="1" x14ac:dyDescent="0.3">
      <c r="A14" s="30" t="s">
        <v>176</v>
      </c>
      <c r="B14" s="30" t="s">
        <v>177</v>
      </c>
      <c r="C14" s="30" t="s">
        <v>178</v>
      </c>
      <c r="D14" s="30" t="s">
        <v>66</v>
      </c>
      <c r="E14" s="30" t="s">
        <v>123</v>
      </c>
      <c r="F14" s="31">
        <v>45691</v>
      </c>
      <c r="G14" s="32" t="s">
        <v>25</v>
      </c>
      <c r="H14" s="30" t="s">
        <v>124</v>
      </c>
      <c r="I14" s="31">
        <v>45700</v>
      </c>
      <c r="J14" s="31">
        <v>45710</v>
      </c>
      <c r="K14" s="31">
        <v>45717</v>
      </c>
      <c r="L14" s="33">
        <v>26</v>
      </c>
      <c r="M14" s="34" t="s">
        <v>125</v>
      </c>
      <c r="N14" s="30" t="s">
        <v>179</v>
      </c>
    </row>
    <row r="15" spans="1:14" ht="18" customHeight="1" x14ac:dyDescent="0.3">
      <c r="A15" s="35" t="s">
        <v>180</v>
      </c>
      <c r="B15" s="35" t="s">
        <v>181</v>
      </c>
      <c r="C15" s="35" t="s">
        <v>182</v>
      </c>
      <c r="D15" s="35" t="s">
        <v>82</v>
      </c>
      <c r="E15" s="35" t="s">
        <v>130</v>
      </c>
      <c r="F15" s="36">
        <v>45693</v>
      </c>
      <c r="G15" s="46" t="s">
        <v>29</v>
      </c>
      <c r="H15" s="35" t="s">
        <v>142</v>
      </c>
      <c r="I15" s="36">
        <v>45703</v>
      </c>
      <c r="J15" s="35"/>
      <c r="K15" s="36">
        <v>45708</v>
      </c>
      <c r="L15" s="37">
        <v>15</v>
      </c>
      <c r="M15" s="34" t="s">
        <v>125</v>
      </c>
      <c r="N15" s="35" t="s">
        <v>183</v>
      </c>
    </row>
    <row r="16" spans="1:14" ht="18" customHeight="1" x14ac:dyDescent="0.3">
      <c r="A16" s="30" t="s">
        <v>184</v>
      </c>
      <c r="B16" s="30" t="s">
        <v>185</v>
      </c>
      <c r="C16" s="30" t="s">
        <v>186</v>
      </c>
      <c r="D16" s="30" t="s">
        <v>76</v>
      </c>
      <c r="E16" s="30" t="s">
        <v>123</v>
      </c>
      <c r="F16" s="31">
        <v>45696</v>
      </c>
      <c r="G16" s="42" t="s">
        <v>17</v>
      </c>
      <c r="H16" s="30" t="s">
        <v>137</v>
      </c>
      <c r="I16" s="31">
        <v>45713</v>
      </c>
      <c r="J16" s="30"/>
      <c r="K16" s="30"/>
      <c r="L16" s="43">
        <f>IFERROR(K16-F16,"-")</f>
        <v>-45696</v>
      </c>
      <c r="M16" s="28" t="s">
        <v>34</v>
      </c>
      <c r="N16" s="30" t="s">
        <v>187</v>
      </c>
    </row>
    <row r="17" spans="1:14" ht="18" customHeight="1" x14ac:dyDescent="0.3">
      <c r="A17" s="35" t="s">
        <v>188</v>
      </c>
      <c r="B17" s="35" t="s">
        <v>189</v>
      </c>
      <c r="C17" s="35" t="s">
        <v>190</v>
      </c>
      <c r="D17" s="35" t="s">
        <v>68</v>
      </c>
      <c r="E17" s="35" t="s">
        <v>130</v>
      </c>
      <c r="F17" s="36">
        <v>45698</v>
      </c>
      <c r="G17" s="39" t="s">
        <v>21</v>
      </c>
      <c r="H17" s="35" t="s">
        <v>131</v>
      </c>
      <c r="I17" s="36">
        <v>45716</v>
      </c>
      <c r="J17" s="35"/>
      <c r="K17" s="35"/>
      <c r="L17" s="40">
        <f>IFERROR(K17-F17,"-")</f>
        <v>-45698</v>
      </c>
      <c r="M17" s="28" t="s">
        <v>34</v>
      </c>
      <c r="N17" s="35" t="s">
        <v>191</v>
      </c>
    </row>
    <row r="18" spans="1:14" ht="18" customHeight="1" x14ac:dyDescent="0.3">
      <c r="A18" s="30" t="s">
        <v>192</v>
      </c>
      <c r="B18" s="30" t="s">
        <v>193</v>
      </c>
      <c r="C18" s="30" t="s">
        <v>194</v>
      </c>
      <c r="D18" s="30" t="s">
        <v>70</v>
      </c>
      <c r="E18" s="30" t="s">
        <v>136</v>
      </c>
      <c r="F18" s="31">
        <v>45700</v>
      </c>
      <c r="G18" s="32" t="s">
        <v>25</v>
      </c>
      <c r="H18" s="30" t="s">
        <v>149</v>
      </c>
      <c r="I18" s="31">
        <v>45710</v>
      </c>
      <c r="J18" s="31">
        <v>45720</v>
      </c>
      <c r="K18" s="31">
        <v>45731</v>
      </c>
      <c r="L18" s="33">
        <v>31</v>
      </c>
      <c r="M18" s="34" t="s">
        <v>125</v>
      </c>
      <c r="N18" s="30" t="s">
        <v>195</v>
      </c>
    </row>
    <row r="19" spans="1:14" ht="18" customHeight="1" x14ac:dyDescent="0.3">
      <c r="A19" s="35" t="s">
        <v>196</v>
      </c>
      <c r="B19" s="35" t="s">
        <v>197</v>
      </c>
      <c r="C19" s="35" t="s">
        <v>198</v>
      </c>
      <c r="D19" s="35" t="s">
        <v>66</v>
      </c>
      <c r="E19" s="35" t="s">
        <v>123</v>
      </c>
      <c r="F19" s="36">
        <v>45703</v>
      </c>
      <c r="G19" s="44" t="s">
        <v>15</v>
      </c>
      <c r="H19" s="35" t="s">
        <v>155</v>
      </c>
      <c r="I19" s="35"/>
      <c r="J19" s="35"/>
      <c r="K19" s="35"/>
      <c r="L19" s="40">
        <f>IFERROR(K19-F19,"-")</f>
        <v>-45703</v>
      </c>
      <c r="M19" s="28" t="s">
        <v>34</v>
      </c>
      <c r="N19" s="35" t="s">
        <v>199</v>
      </c>
    </row>
    <row r="20" spans="1:14" ht="18" customHeight="1" x14ac:dyDescent="0.3">
      <c r="A20" s="30" t="s">
        <v>200</v>
      </c>
      <c r="B20" s="30" t="s">
        <v>201</v>
      </c>
      <c r="C20" s="30" t="s">
        <v>202</v>
      </c>
      <c r="D20" s="30" t="s">
        <v>66</v>
      </c>
      <c r="E20" s="30" t="s">
        <v>203</v>
      </c>
      <c r="F20" s="31">
        <v>45706</v>
      </c>
      <c r="G20" s="38" t="s">
        <v>27</v>
      </c>
      <c r="H20" s="30" t="s">
        <v>124</v>
      </c>
      <c r="I20" s="31">
        <v>45716</v>
      </c>
      <c r="J20" s="30"/>
      <c r="K20" s="31">
        <v>45721</v>
      </c>
      <c r="L20" s="33">
        <v>15</v>
      </c>
      <c r="M20" s="34" t="s">
        <v>125</v>
      </c>
      <c r="N20" s="30" t="s">
        <v>204</v>
      </c>
    </row>
    <row r="21" spans="1:14" ht="18" customHeight="1" x14ac:dyDescent="0.3">
      <c r="A21" s="35" t="s">
        <v>205</v>
      </c>
      <c r="B21" s="35" t="s">
        <v>206</v>
      </c>
      <c r="C21" s="35" t="s">
        <v>207</v>
      </c>
      <c r="D21" s="35" t="s">
        <v>72</v>
      </c>
      <c r="E21" s="35" t="s">
        <v>123</v>
      </c>
      <c r="F21" s="36">
        <v>45708</v>
      </c>
      <c r="G21" s="41" t="s">
        <v>23</v>
      </c>
      <c r="H21" s="35" t="s">
        <v>142</v>
      </c>
      <c r="I21" s="36">
        <v>45721</v>
      </c>
      <c r="J21" s="36">
        <v>45734</v>
      </c>
      <c r="K21" s="35"/>
      <c r="L21" s="40">
        <f>IFERROR(K21-F21,"-")</f>
        <v>-45708</v>
      </c>
      <c r="M21" s="28" t="s">
        <v>34</v>
      </c>
      <c r="N21" s="35" t="s">
        <v>208</v>
      </c>
    </row>
    <row r="22" spans="1:14" ht="18" customHeight="1" x14ac:dyDescent="0.3">
      <c r="A22" s="30" t="s">
        <v>209</v>
      </c>
      <c r="B22" s="30" t="s">
        <v>210</v>
      </c>
      <c r="C22" s="30" t="s">
        <v>211</v>
      </c>
      <c r="D22" s="30" t="s">
        <v>68</v>
      </c>
      <c r="E22" s="30" t="s">
        <v>130</v>
      </c>
      <c r="F22" s="31">
        <v>45710</v>
      </c>
      <c r="G22" s="42" t="s">
        <v>17</v>
      </c>
      <c r="H22" s="30" t="s">
        <v>131</v>
      </c>
      <c r="I22" s="31">
        <v>45726</v>
      </c>
      <c r="J22" s="30"/>
      <c r="K22" s="30"/>
      <c r="L22" s="43">
        <f>IFERROR(K22-F22,"-")</f>
        <v>-45710</v>
      </c>
      <c r="M22" s="28" t="s">
        <v>34</v>
      </c>
      <c r="N22" s="30" t="s">
        <v>212</v>
      </c>
    </row>
    <row r="23" spans="1:14" ht="18" customHeight="1" x14ac:dyDescent="0.3">
      <c r="A23" s="35" t="s">
        <v>213</v>
      </c>
      <c r="B23" s="35" t="s">
        <v>214</v>
      </c>
      <c r="C23" s="35" t="s">
        <v>215</v>
      </c>
      <c r="D23" s="35" t="s">
        <v>74</v>
      </c>
      <c r="E23" s="35" t="s">
        <v>216</v>
      </c>
      <c r="F23" s="36">
        <v>45713</v>
      </c>
      <c r="G23" s="45" t="s">
        <v>19</v>
      </c>
      <c r="H23" s="35" t="s">
        <v>155</v>
      </c>
      <c r="I23" s="36">
        <v>45724</v>
      </c>
      <c r="J23" s="35"/>
      <c r="K23" s="35"/>
      <c r="L23" s="40">
        <f>IFERROR(K23-F23,"-")</f>
        <v>-45713</v>
      </c>
      <c r="M23" s="28" t="s">
        <v>34</v>
      </c>
      <c r="N23" s="35" t="s">
        <v>217</v>
      </c>
    </row>
    <row r="25" spans="1:14" ht="7.5" customHeight="1" x14ac:dyDescent="0.3"/>
    <row r="26" spans="1:14" ht="19.5" customHeight="1" x14ac:dyDescent="0.3">
      <c r="A26" s="135" t="s">
        <v>3</v>
      </c>
      <c r="B26" s="135"/>
      <c r="C26" s="135" t="s">
        <v>25</v>
      </c>
      <c r="D26" s="135"/>
      <c r="E26" s="135" t="s">
        <v>27</v>
      </c>
      <c r="F26" s="135"/>
      <c r="G26" s="135" t="s">
        <v>34</v>
      </c>
      <c r="H26" s="135"/>
      <c r="I26" s="135" t="s">
        <v>218</v>
      </c>
      <c r="J26" s="135"/>
    </row>
    <row r="27" spans="1:14" ht="30" customHeight="1" x14ac:dyDescent="0.3">
      <c r="A27" s="47"/>
      <c r="B27" s="47">
        <f>COUNTA(A4:A23)</f>
        <v>20</v>
      </c>
      <c r="C27" s="47"/>
      <c r="D27" s="47">
        <f>COUNTIF(G4:G23,"Hired")</f>
        <v>5</v>
      </c>
      <c r="E27" s="48"/>
      <c r="F27" s="48">
        <f>COUNTIF(G4:G23,"Rejected")</f>
        <v>3</v>
      </c>
      <c r="G27" s="48"/>
      <c r="H27" s="48">
        <f>COUNTIF(M4:M23,"In Progress")</f>
        <v>11</v>
      </c>
      <c r="I27" s="49"/>
      <c r="J27" s="49">
        <f>IFERROR(AVERAGEIF(M4:M23,"Closed",L4:L23),"N/A")</f>
        <v>24.333333333333332</v>
      </c>
    </row>
  </sheetData>
  <mergeCells count="7">
    <mergeCell ref="A1:N1"/>
    <mergeCell ref="A2:N2"/>
    <mergeCell ref="A26:B26"/>
    <mergeCell ref="C26:D26"/>
    <mergeCell ref="E26:F26"/>
    <mergeCell ref="G26:H26"/>
    <mergeCell ref="I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O22"/>
  <sheetViews>
    <sheetView showGridLines="0" zoomScaleNormal="100" workbookViewId="0">
      <pane ySplit="3" topLeftCell="A4" activePane="bottomLeft" state="frozen"/>
      <selection pane="bottomLeft" activeCell="D32" sqref="D32"/>
    </sheetView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24" customWidth="1"/>
    <col min="5" max="5" width="14" customWidth="1"/>
    <col min="6" max="6" width="16" customWidth="1"/>
    <col min="7" max="7" width="9" customWidth="1"/>
    <col min="8" max="8" width="13" customWidth="1"/>
    <col min="9" max="9" width="12" customWidth="1"/>
    <col min="10" max="10" width="15" customWidth="1"/>
    <col min="11" max="11" width="12" customWidth="1"/>
    <col min="12" max="12" width="17.44140625" customWidth="1"/>
    <col min="13" max="13" width="18.21875" customWidth="1"/>
    <col min="14" max="14" width="18" customWidth="1"/>
    <col min="15" max="15" width="19.6640625" customWidth="1"/>
  </cols>
  <sheetData>
    <row r="1" spans="1:15" ht="30" customHeight="1" x14ac:dyDescent="0.3">
      <c r="A1" s="136" t="s">
        <v>544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ht="15.75" customHeight="1" x14ac:dyDescent="0.3">
      <c r="A2" s="137" t="s">
        <v>219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5" ht="21.75" customHeight="1" x14ac:dyDescent="0.3">
      <c r="A3" s="22" t="s">
        <v>220</v>
      </c>
      <c r="B3" s="22" t="s">
        <v>221</v>
      </c>
      <c r="C3" s="22" t="s">
        <v>63</v>
      </c>
      <c r="D3" s="22" t="s">
        <v>222</v>
      </c>
      <c r="E3" s="22" t="s">
        <v>223</v>
      </c>
      <c r="F3" s="22" t="s">
        <v>224</v>
      </c>
      <c r="G3" s="22" t="s">
        <v>44</v>
      </c>
      <c r="H3" s="22" t="s">
        <v>46</v>
      </c>
      <c r="I3" s="22" t="s">
        <v>47</v>
      </c>
      <c r="J3" s="22" t="s">
        <v>48</v>
      </c>
      <c r="K3" s="22" t="s">
        <v>49</v>
      </c>
      <c r="L3" s="22" t="s">
        <v>50</v>
      </c>
      <c r="M3" s="22" t="s">
        <v>51</v>
      </c>
      <c r="N3" s="22" t="s">
        <v>53</v>
      </c>
      <c r="O3" s="22" t="s">
        <v>225</v>
      </c>
    </row>
    <row r="4" spans="1:15" ht="18" customHeight="1" x14ac:dyDescent="0.3">
      <c r="A4" s="30" t="s">
        <v>226</v>
      </c>
      <c r="B4" s="30" t="s">
        <v>121</v>
      </c>
      <c r="C4" s="30" t="s">
        <v>66</v>
      </c>
      <c r="D4" s="30" t="s">
        <v>122</v>
      </c>
      <c r="E4" s="31">
        <v>45689</v>
      </c>
      <c r="F4" s="30" t="s">
        <v>124</v>
      </c>
      <c r="G4" s="23" t="s">
        <v>227</v>
      </c>
      <c r="H4" s="23" t="s">
        <v>227</v>
      </c>
      <c r="I4" s="23" t="s">
        <v>227</v>
      </c>
      <c r="J4" s="23" t="s">
        <v>227</v>
      </c>
      <c r="K4" s="23" t="s">
        <v>227</v>
      </c>
      <c r="L4" s="23" t="s">
        <v>227</v>
      </c>
      <c r="M4" s="23" t="s">
        <v>227</v>
      </c>
      <c r="N4" s="23" t="s">
        <v>227</v>
      </c>
      <c r="O4" s="45" t="s">
        <v>228</v>
      </c>
    </row>
    <row r="5" spans="1:15" ht="18" customHeight="1" x14ac:dyDescent="0.3">
      <c r="A5" s="35" t="s">
        <v>229</v>
      </c>
      <c r="B5" s="35" t="s">
        <v>128</v>
      </c>
      <c r="C5" s="35" t="s">
        <v>68</v>
      </c>
      <c r="D5" s="35" t="s">
        <v>129</v>
      </c>
      <c r="E5" s="36">
        <v>45698</v>
      </c>
      <c r="F5" s="35" t="s">
        <v>131</v>
      </c>
      <c r="G5" s="23" t="s">
        <v>227</v>
      </c>
      <c r="H5" s="23" t="s">
        <v>227</v>
      </c>
      <c r="I5" s="23" t="s">
        <v>227</v>
      </c>
      <c r="J5" s="23" t="s">
        <v>227</v>
      </c>
      <c r="K5" s="23" t="s">
        <v>227</v>
      </c>
      <c r="L5" s="23" t="s">
        <v>227</v>
      </c>
      <c r="M5" s="24" t="s">
        <v>230</v>
      </c>
      <c r="N5" s="50" t="s">
        <v>231</v>
      </c>
      <c r="O5" s="44" t="s">
        <v>34</v>
      </c>
    </row>
    <row r="6" spans="1:15" ht="18" customHeight="1" x14ac:dyDescent="0.3">
      <c r="A6" s="30" t="s">
        <v>232</v>
      </c>
      <c r="B6" s="30" t="s">
        <v>145</v>
      </c>
      <c r="C6" s="30" t="s">
        <v>147</v>
      </c>
      <c r="D6" s="30" t="s">
        <v>146</v>
      </c>
      <c r="E6" s="31">
        <v>45703</v>
      </c>
      <c r="F6" s="30" t="s">
        <v>149</v>
      </c>
      <c r="G6" s="23" t="s">
        <v>227</v>
      </c>
      <c r="H6" s="23" t="s">
        <v>227</v>
      </c>
      <c r="I6" s="23" t="s">
        <v>227</v>
      </c>
      <c r="J6" s="23" t="s">
        <v>227</v>
      </c>
      <c r="K6" s="23" t="s">
        <v>227</v>
      </c>
      <c r="L6" s="23" t="s">
        <v>227</v>
      </c>
      <c r="M6" s="24" t="s">
        <v>230</v>
      </c>
      <c r="N6" s="50" t="s">
        <v>231</v>
      </c>
      <c r="O6" s="44" t="s">
        <v>34</v>
      </c>
    </row>
    <row r="7" spans="1:15" ht="18" customHeight="1" x14ac:dyDescent="0.3">
      <c r="A7" s="35" t="s">
        <v>233</v>
      </c>
      <c r="B7" s="35" t="s">
        <v>177</v>
      </c>
      <c r="C7" s="35" t="s">
        <v>66</v>
      </c>
      <c r="D7" s="35" t="s">
        <v>178</v>
      </c>
      <c r="E7" s="36">
        <v>45717</v>
      </c>
      <c r="F7" s="35" t="s">
        <v>124</v>
      </c>
      <c r="G7" s="23" t="s">
        <v>227</v>
      </c>
      <c r="H7" s="23" t="s">
        <v>227</v>
      </c>
      <c r="I7" s="23" t="s">
        <v>227</v>
      </c>
      <c r="J7" s="23" t="s">
        <v>227</v>
      </c>
      <c r="K7" s="24" t="s">
        <v>230</v>
      </c>
      <c r="L7" s="50" t="s">
        <v>231</v>
      </c>
      <c r="M7" s="50" t="s">
        <v>231</v>
      </c>
      <c r="N7" s="50" t="s">
        <v>231</v>
      </c>
      <c r="O7" s="44" t="s">
        <v>34</v>
      </c>
    </row>
    <row r="8" spans="1:15" ht="18" customHeight="1" x14ac:dyDescent="0.3">
      <c r="A8" s="30" t="s">
        <v>234</v>
      </c>
      <c r="B8" s="30" t="s">
        <v>193</v>
      </c>
      <c r="C8" s="30" t="s">
        <v>70</v>
      </c>
      <c r="D8" s="30" t="s">
        <v>194</v>
      </c>
      <c r="E8" s="31">
        <v>45731</v>
      </c>
      <c r="F8" s="30" t="s">
        <v>137</v>
      </c>
      <c r="G8" s="23" t="s">
        <v>227</v>
      </c>
      <c r="H8" s="23" t="s">
        <v>227</v>
      </c>
      <c r="I8" s="23" t="s">
        <v>227</v>
      </c>
      <c r="J8" s="23" t="s">
        <v>227</v>
      </c>
      <c r="K8" s="24" t="s">
        <v>230</v>
      </c>
      <c r="L8" s="50" t="s">
        <v>231</v>
      </c>
      <c r="M8" s="50" t="s">
        <v>231</v>
      </c>
      <c r="N8" s="50" t="s">
        <v>231</v>
      </c>
      <c r="O8" s="44" t="s">
        <v>34</v>
      </c>
    </row>
    <row r="9" spans="1:15" ht="18" customHeight="1" x14ac:dyDescent="0.3">
      <c r="A9" s="35" t="s">
        <v>235</v>
      </c>
      <c r="B9" s="35" t="s">
        <v>181</v>
      </c>
      <c r="C9" s="35" t="s">
        <v>82</v>
      </c>
      <c r="D9" s="35" t="s">
        <v>182</v>
      </c>
      <c r="E9" s="36">
        <v>45597</v>
      </c>
      <c r="F9" s="35" t="s">
        <v>142</v>
      </c>
      <c r="G9" s="23" t="s">
        <v>227</v>
      </c>
      <c r="H9" s="23" t="s">
        <v>227</v>
      </c>
      <c r="I9" s="23" t="s">
        <v>227</v>
      </c>
      <c r="J9" s="23" t="s">
        <v>227</v>
      </c>
      <c r="K9" s="23" t="s">
        <v>227</v>
      </c>
      <c r="L9" s="23" t="s">
        <v>227</v>
      </c>
      <c r="M9" s="23" t="s">
        <v>227</v>
      </c>
      <c r="N9" s="23" t="s">
        <v>227</v>
      </c>
      <c r="O9" s="45" t="s">
        <v>228</v>
      </c>
    </row>
    <row r="10" spans="1:15" ht="18" customHeight="1" x14ac:dyDescent="0.3">
      <c r="A10" s="30" t="s">
        <v>236</v>
      </c>
      <c r="B10" s="30" t="s">
        <v>189</v>
      </c>
      <c r="C10" s="30" t="s">
        <v>68</v>
      </c>
      <c r="D10" s="30" t="s">
        <v>190</v>
      </c>
      <c r="E10" s="31">
        <v>45611</v>
      </c>
      <c r="F10" s="30" t="s">
        <v>131</v>
      </c>
      <c r="G10" s="23" t="s">
        <v>227</v>
      </c>
      <c r="H10" s="23" t="s">
        <v>227</v>
      </c>
      <c r="I10" s="23" t="s">
        <v>227</v>
      </c>
      <c r="J10" s="23" t="s">
        <v>227</v>
      </c>
      <c r="K10" s="23" t="s">
        <v>227</v>
      </c>
      <c r="L10" s="23" t="s">
        <v>227</v>
      </c>
      <c r="M10" s="23" t="s">
        <v>227</v>
      </c>
      <c r="N10" s="23" t="s">
        <v>227</v>
      </c>
      <c r="O10" s="45" t="s">
        <v>228</v>
      </c>
    </row>
    <row r="11" spans="1:15" ht="18" customHeight="1" x14ac:dyDescent="0.3">
      <c r="A11" s="35" t="s">
        <v>237</v>
      </c>
      <c r="B11" s="35" t="s">
        <v>238</v>
      </c>
      <c r="C11" s="35" t="s">
        <v>74</v>
      </c>
      <c r="D11" s="35" t="s">
        <v>153</v>
      </c>
      <c r="E11" s="36">
        <v>45627</v>
      </c>
      <c r="F11" s="35" t="s">
        <v>155</v>
      </c>
      <c r="G11" s="23" t="s">
        <v>227</v>
      </c>
      <c r="H11" s="23" t="s">
        <v>227</v>
      </c>
      <c r="I11" s="23" t="s">
        <v>227</v>
      </c>
      <c r="J11" s="23" t="s">
        <v>227</v>
      </c>
      <c r="K11" s="23" t="s">
        <v>227</v>
      </c>
      <c r="L11" s="23" t="s">
        <v>227</v>
      </c>
      <c r="M11" s="23" t="s">
        <v>227</v>
      </c>
      <c r="N11" s="23" t="s">
        <v>227</v>
      </c>
      <c r="O11" s="45" t="s">
        <v>228</v>
      </c>
    </row>
    <row r="12" spans="1:15" ht="18" customHeight="1" x14ac:dyDescent="0.3">
      <c r="A12" s="30" t="s">
        <v>239</v>
      </c>
      <c r="B12" s="30" t="s">
        <v>210</v>
      </c>
      <c r="C12" s="30" t="s">
        <v>68</v>
      </c>
      <c r="D12" s="30" t="s">
        <v>211</v>
      </c>
      <c r="E12" s="31">
        <v>45636</v>
      </c>
      <c r="F12" s="30" t="s">
        <v>131</v>
      </c>
      <c r="G12" s="23" t="s">
        <v>227</v>
      </c>
      <c r="H12" s="23" t="s">
        <v>227</v>
      </c>
      <c r="I12" s="23" t="s">
        <v>227</v>
      </c>
      <c r="J12" s="23" t="s">
        <v>227</v>
      </c>
      <c r="K12" s="23" t="s">
        <v>227</v>
      </c>
      <c r="L12" s="23" t="s">
        <v>227</v>
      </c>
      <c r="M12" s="23" t="s">
        <v>227</v>
      </c>
      <c r="N12" s="50" t="s">
        <v>231</v>
      </c>
      <c r="O12" s="44" t="s">
        <v>34</v>
      </c>
    </row>
    <row r="13" spans="1:15" ht="18" customHeight="1" x14ac:dyDescent="0.3">
      <c r="A13" s="35" t="s">
        <v>240</v>
      </c>
      <c r="B13" s="35" t="s">
        <v>214</v>
      </c>
      <c r="C13" s="35" t="s">
        <v>74</v>
      </c>
      <c r="D13" s="35" t="s">
        <v>215</v>
      </c>
      <c r="E13" s="36">
        <v>45662</v>
      </c>
      <c r="F13" s="35" t="s">
        <v>155</v>
      </c>
      <c r="G13" s="23" t="s">
        <v>227</v>
      </c>
      <c r="H13" s="23" t="s">
        <v>227</v>
      </c>
      <c r="I13" s="23" t="s">
        <v>227</v>
      </c>
      <c r="J13" s="23" t="s">
        <v>227</v>
      </c>
      <c r="K13" s="23" t="s">
        <v>227</v>
      </c>
      <c r="L13" s="23" t="s">
        <v>227</v>
      </c>
      <c r="M13" s="23" t="s">
        <v>227</v>
      </c>
      <c r="N13" s="23" t="s">
        <v>227</v>
      </c>
      <c r="O13" s="45" t="s">
        <v>228</v>
      </c>
    </row>
    <row r="14" spans="1:15" ht="18" customHeight="1" x14ac:dyDescent="0.3">
      <c r="A14" s="30" t="s">
        <v>241</v>
      </c>
      <c r="B14" s="30" t="s">
        <v>185</v>
      </c>
      <c r="C14" s="30" t="s">
        <v>76</v>
      </c>
      <c r="D14" s="30" t="s">
        <v>186</v>
      </c>
      <c r="E14" s="31">
        <v>45667</v>
      </c>
      <c r="F14" s="30" t="s">
        <v>137</v>
      </c>
      <c r="G14" s="23" t="s">
        <v>227</v>
      </c>
      <c r="H14" s="23" t="s">
        <v>227</v>
      </c>
      <c r="I14" s="23" t="s">
        <v>227</v>
      </c>
      <c r="J14" s="23" t="s">
        <v>227</v>
      </c>
      <c r="K14" s="23" t="s">
        <v>227</v>
      </c>
      <c r="L14" s="23" t="s">
        <v>227</v>
      </c>
      <c r="M14" s="23" t="s">
        <v>227</v>
      </c>
      <c r="N14" s="24" t="s">
        <v>230</v>
      </c>
      <c r="O14" s="44" t="s">
        <v>34</v>
      </c>
    </row>
    <row r="15" spans="1:15" ht="18" customHeight="1" x14ac:dyDescent="0.3">
      <c r="A15" s="35" t="s">
        <v>242</v>
      </c>
      <c r="B15" s="35" t="s">
        <v>172</v>
      </c>
      <c r="C15" s="35" t="s">
        <v>80</v>
      </c>
      <c r="D15" s="35" t="s">
        <v>173</v>
      </c>
      <c r="E15" s="36">
        <v>45677</v>
      </c>
      <c r="F15" s="35" t="s">
        <v>164</v>
      </c>
      <c r="G15" s="23" t="s">
        <v>227</v>
      </c>
      <c r="H15" s="23" t="s">
        <v>227</v>
      </c>
      <c r="I15" s="23" t="s">
        <v>227</v>
      </c>
      <c r="J15" s="23" t="s">
        <v>227</v>
      </c>
      <c r="K15" s="23" t="s">
        <v>227</v>
      </c>
      <c r="L15" s="23" t="s">
        <v>227</v>
      </c>
      <c r="M15" s="24" t="s">
        <v>230</v>
      </c>
      <c r="N15" s="50" t="s">
        <v>231</v>
      </c>
      <c r="O15" s="44" t="s">
        <v>34</v>
      </c>
    </row>
    <row r="16" spans="1:15" ht="18" customHeight="1" x14ac:dyDescent="0.3">
      <c r="A16" s="30" t="s">
        <v>243</v>
      </c>
      <c r="B16" s="30" t="s">
        <v>201</v>
      </c>
      <c r="C16" s="30" t="s">
        <v>66</v>
      </c>
      <c r="D16" s="30" t="s">
        <v>244</v>
      </c>
      <c r="E16" s="31">
        <v>45566</v>
      </c>
      <c r="F16" s="30" t="s">
        <v>124</v>
      </c>
      <c r="G16" s="23" t="s">
        <v>227</v>
      </c>
      <c r="H16" s="23" t="s">
        <v>227</v>
      </c>
      <c r="I16" s="23" t="s">
        <v>227</v>
      </c>
      <c r="J16" s="23" t="s">
        <v>227</v>
      </c>
      <c r="K16" s="23" t="s">
        <v>227</v>
      </c>
      <c r="L16" s="23" t="s">
        <v>227</v>
      </c>
      <c r="M16" s="23" t="s">
        <v>227</v>
      </c>
      <c r="N16" s="23" t="s">
        <v>227</v>
      </c>
      <c r="O16" s="45" t="s">
        <v>228</v>
      </c>
    </row>
    <row r="17" spans="1:15" ht="18" customHeight="1" x14ac:dyDescent="0.3">
      <c r="A17" s="35" t="s">
        <v>245</v>
      </c>
      <c r="B17" s="35" t="s">
        <v>206</v>
      </c>
      <c r="C17" s="35" t="s">
        <v>72</v>
      </c>
      <c r="D17" s="35" t="s">
        <v>207</v>
      </c>
      <c r="E17" s="36">
        <v>45580</v>
      </c>
      <c r="F17" s="35" t="s">
        <v>142</v>
      </c>
      <c r="G17" s="23" t="s">
        <v>227</v>
      </c>
      <c r="H17" s="23" t="s">
        <v>227</v>
      </c>
      <c r="I17" s="23" t="s">
        <v>227</v>
      </c>
      <c r="J17" s="23" t="s">
        <v>227</v>
      </c>
      <c r="K17" s="23" t="s">
        <v>227</v>
      </c>
      <c r="L17" s="23" t="s">
        <v>227</v>
      </c>
      <c r="M17" s="23" t="s">
        <v>227</v>
      </c>
      <c r="N17" s="23" t="s">
        <v>227</v>
      </c>
      <c r="O17" s="45" t="s">
        <v>228</v>
      </c>
    </row>
    <row r="18" spans="1:15" ht="18" customHeight="1" x14ac:dyDescent="0.3">
      <c r="A18" s="30" t="s">
        <v>246</v>
      </c>
      <c r="B18" s="30" t="s">
        <v>197</v>
      </c>
      <c r="C18" s="30" t="s">
        <v>66</v>
      </c>
      <c r="D18" s="30" t="s">
        <v>198</v>
      </c>
      <c r="E18" s="31">
        <v>45748</v>
      </c>
      <c r="F18" s="30" t="s">
        <v>155</v>
      </c>
      <c r="G18" s="50" t="s">
        <v>231</v>
      </c>
      <c r="H18" s="50" t="s">
        <v>231</v>
      </c>
      <c r="I18" s="50" t="s">
        <v>231</v>
      </c>
      <c r="J18" s="50" t="s">
        <v>231</v>
      </c>
      <c r="K18" s="50" t="s">
        <v>231</v>
      </c>
      <c r="L18" s="50" t="s">
        <v>231</v>
      </c>
      <c r="M18" s="50" t="s">
        <v>231</v>
      </c>
      <c r="N18" s="50" t="s">
        <v>231</v>
      </c>
      <c r="O18" s="38" t="s">
        <v>35</v>
      </c>
    </row>
    <row r="20" spans="1:15" ht="7.5" customHeight="1" x14ac:dyDescent="0.3"/>
    <row r="21" spans="1:15" ht="19.5" customHeight="1" x14ac:dyDescent="0.3">
      <c r="A21" s="135" t="s">
        <v>32</v>
      </c>
      <c r="B21" s="135"/>
      <c r="C21" s="135" t="s">
        <v>228</v>
      </c>
      <c r="D21" s="135"/>
      <c r="E21" s="135" t="s">
        <v>34</v>
      </c>
      <c r="F21" s="135"/>
      <c r="G21" s="135" t="s">
        <v>35</v>
      </c>
      <c r="H21" s="135"/>
      <c r="I21" s="135" t="s">
        <v>36</v>
      </c>
      <c r="J21" s="135"/>
    </row>
    <row r="22" spans="1:15" ht="30" customHeight="1" x14ac:dyDescent="0.3">
      <c r="A22" s="51"/>
      <c r="B22" s="52">
        <f>COUNTA(A4:A18)</f>
        <v>15</v>
      </c>
      <c r="C22" s="51"/>
      <c r="D22" s="51">
        <f>COUNTIF(O4:O18,"Complete")</f>
        <v>7</v>
      </c>
      <c r="E22" s="51"/>
      <c r="F22" s="51">
        <f>COUNTIF(O4:O18,"In Progress")</f>
        <v>7</v>
      </c>
      <c r="G22" s="51"/>
      <c r="H22" s="51">
        <f>COUNTIF(O4:O18,"Not Started")</f>
        <v>1</v>
      </c>
      <c r="I22" s="53"/>
      <c r="J22" s="53">
        <f>IFERROR(COUNTIF(O4:O18,"Complete")/COUNTA(O4:O18),0)</f>
        <v>0.46666666666666667</v>
      </c>
    </row>
  </sheetData>
  <mergeCells count="7">
    <mergeCell ref="A1:O1"/>
    <mergeCell ref="A2:O2"/>
    <mergeCell ref="A21:B21"/>
    <mergeCell ref="C21:D21"/>
    <mergeCell ref="E21:F21"/>
    <mergeCell ref="G21:H21"/>
    <mergeCell ref="I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41C"/>
  </sheetPr>
  <dimension ref="A1:M25"/>
  <sheetViews>
    <sheetView zoomScaleNormal="100" workbookViewId="0">
      <pane ySplit="3" topLeftCell="A4" activePane="bottomLeft" state="frozen"/>
      <selection pane="bottomLeft" activeCell="F32" sqref="F32"/>
    </sheetView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24" customWidth="1"/>
    <col min="5" max="7" width="14" customWidth="1"/>
    <col min="8" max="8" width="12" customWidth="1"/>
    <col min="9" max="10" width="22" customWidth="1"/>
    <col min="11" max="11" width="20.21875" customWidth="1"/>
    <col min="12" max="12" width="14" customWidth="1"/>
    <col min="13" max="13" width="22" customWidth="1"/>
  </cols>
  <sheetData>
    <row r="1" spans="1:13" ht="30" customHeight="1" x14ac:dyDescent="0.3">
      <c r="A1" s="138" t="s">
        <v>545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ht="15.75" customHeight="1" x14ac:dyDescent="0.3">
      <c r="A2" s="139" t="s">
        <v>247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</row>
    <row r="3" spans="1:13" ht="21.75" customHeight="1" x14ac:dyDescent="0.3">
      <c r="A3" s="27" t="s">
        <v>248</v>
      </c>
      <c r="B3" s="27" t="s">
        <v>221</v>
      </c>
      <c r="C3" s="27" t="s">
        <v>63</v>
      </c>
      <c r="D3" s="27" t="s">
        <v>222</v>
      </c>
      <c r="E3" s="27" t="s">
        <v>223</v>
      </c>
      <c r="F3" s="27" t="s">
        <v>249</v>
      </c>
      <c r="G3" s="27" t="s">
        <v>250</v>
      </c>
      <c r="H3" s="27" t="s">
        <v>251</v>
      </c>
      <c r="I3" s="27" t="s">
        <v>252</v>
      </c>
      <c r="J3" s="27" t="s">
        <v>253</v>
      </c>
      <c r="K3" s="27" t="s">
        <v>254</v>
      </c>
      <c r="L3" s="27" t="s">
        <v>255</v>
      </c>
      <c r="M3" s="27" t="s">
        <v>119</v>
      </c>
    </row>
    <row r="4" spans="1:13" ht="18" customHeight="1" x14ac:dyDescent="0.3">
      <c r="A4" s="30" t="s">
        <v>256</v>
      </c>
      <c r="B4" s="30" t="s">
        <v>257</v>
      </c>
      <c r="C4" s="30" t="s">
        <v>66</v>
      </c>
      <c r="D4" s="30" t="s">
        <v>244</v>
      </c>
      <c r="E4" s="31">
        <v>44713</v>
      </c>
      <c r="F4" s="31">
        <v>45504</v>
      </c>
      <c r="G4" s="43">
        <v>26</v>
      </c>
      <c r="H4" s="44" t="s">
        <v>56</v>
      </c>
      <c r="I4" s="30" t="s">
        <v>81</v>
      </c>
      <c r="J4" s="30" t="s">
        <v>258</v>
      </c>
      <c r="K4" s="30" t="s">
        <v>259</v>
      </c>
      <c r="L4" s="30" t="s">
        <v>260</v>
      </c>
      <c r="M4" s="30" t="s">
        <v>261</v>
      </c>
    </row>
    <row r="5" spans="1:13" ht="18" customHeight="1" x14ac:dyDescent="0.3">
      <c r="A5" s="35" t="s">
        <v>262</v>
      </c>
      <c r="B5" s="35" t="s">
        <v>263</v>
      </c>
      <c r="C5" s="35" t="s">
        <v>68</v>
      </c>
      <c r="D5" s="35" t="s">
        <v>264</v>
      </c>
      <c r="E5" s="36">
        <v>44454</v>
      </c>
      <c r="F5" s="36">
        <v>45519</v>
      </c>
      <c r="G5" s="40">
        <v>47</v>
      </c>
      <c r="H5" s="44" t="s">
        <v>56</v>
      </c>
      <c r="I5" s="35" t="s">
        <v>265</v>
      </c>
      <c r="J5" s="35" t="s">
        <v>266</v>
      </c>
      <c r="K5" s="35" t="s">
        <v>259</v>
      </c>
      <c r="L5" s="35" t="s">
        <v>267</v>
      </c>
      <c r="M5" s="35" t="s">
        <v>268</v>
      </c>
    </row>
    <row r="6" spans="1:13" ht="18" customHeight="1" x14ac:dyDescent="0.3">
      <c r="A6" s="30" t="s">
        <v>269</v>
      </c>
      <c r="B6" s="30" t="s">
        <v>270</v>
      </c>
      <c r="C6" s="30" t="s">
        <v>70</v>
      </c>
      <c r="D6" s="30" t="s">
        <v>271</v>
      </c>
      <c r="E6" s="31">
        <v>44936</v>
      </c>
      <c r="F6" s="31">
        <v>45535</v>
      </c>
      <c r="G6" s="43">
        <v>20</v>
      </c>
      <c r="H6" s="44" t="s">
        <v>56</v>
      </c>
      <c r="I6" s="30" t="s">
        <v>81</v>
      </c>
      <c r="J6" s="30" t="s">
        <v>272</v>
      </c>
      <c r="K6" s="30" t="s">
        <v>259</v>
      </c>
      <c r="L6" s="30" t="s">
        <v>273</v>
      </c>
      <c r="M6" s="30" t="s">
        <v>274</v>
      </c>
    </row>
    <row r="7" spans="1:13" ht="18" customHeight="1" x14ac:dyDescent="0.3">
      <c r="A7" s="35" t="s">
        <v>275</v>
      </c>
      <c r="B7" s="35" t="s">
        <v>124</v>
      </c>
      <c r="C7" s="35" t="s">
        <v>147</v>
      </c>
      <c r="D7" s="35" t="s">
        <v>276</v>
      </c>
      <c r="E7" s="36">
        <v>43922</v>
      </c>
      <c r="F7" s="36">
        <v>45550</v>
      </c>
      <c r="G7" s="40">
        <v>65</v>
      </c>
      <c r="H7" s="38" t="s">
        <v>57</v>
      </c>
      <c r="I7" s="35" t="s">
        <v>277</v>
      </c>
      <c r="J7" s="35" t="s">
        <v>278</v>
      </c>
      <c r="K7" s="35" t="s">
        <v>259</v>
      </c>
      <c r="L7" s="35" t="s">
        <v>279</v>
      </c>
      <c r="M7" s="35" t="s">
        <v>280</v>
      </c>
    </row>
    <row r="8" spans="1:13" ht="18" customHeight="1" x14ac:dyDescent="0.3">
      <c r="A8" s="30" t="s">
        <v>281</v>
      </c>
      <c r="B8" s="30" t="s">
        <v>282</v>
      </c>
      <c r="C8" s="30" t="s">
        <v>72</v>
      </c>
      <c r="D8" s="30" t="s">
        <v>283</v>
      </c>
      <c r="E8" s="31">
        <v>44990</v>
      </c>
      <c r="F8" s="31">
        <v>45565</v>
      </c>
      <c r="G8" s="43">
        <v>19</v>
      </c>
      <c r="H8" s="44" t="s">
        <v>56</v>
      </c>
      <c r="I8" s="30" t="s">
        <v>284</v>
      </c>
      <c r="J8" s="30" t="s">
        <v>285</v>
      </c>
      <c r="K8" s="30" t="s">
        <v>259</v>
      </c>
      <c r="L8" s="30" t="s">
        <v>260</v>
      </c>
      <c r="M8" s="30" t="s">
        <v>286</v>
      </c>
    </row>
    <row r="9" spans="1:13" ht="18" customHeight="1" x14ac:dyDescent="0.3">
      <c r="A9" s="35" t="s">
        <v>287</v>
      </c>
      <c r="B9" s="35" t="s">
        <v>288</v>
      </c>
      <c r="C9" s="35" t="s">
        <v>74</v>
      </c>
      <c r="D9" s="35" t="s">
        <v>289</v>
      </c>
      <c r="E9" s="36">
        <v>44866</v>
      </c>
      <c r="F9" s="36">
        <v>45575</v>
      </c>
      <c r="G9" s="40">
        <v>23</v>
      </c>
      <c r="H9" s="44" t="s">
        <v>56</v>
      </c>
      <c r="I9" s="35" t="s">
        <v>81</v>
      </c>
      <c r="J9" s="35" t="s">
        <v>290</v>
      </c>
      <c r="K9" s="35" t="s">
        <v>291</v>
      </c>
      <c r="L9" s="35" t="s">
        <v>273</v>
      </c>
      <c r="M9" s="35" t="s">
        <v>292</v>
      </c>
    </row>
    <row r="10" spans="1:13" ht="18" customHeight="1" x14ac:dyDescent="0.3">
      <c r="A10" s="30" t="s">
        <v>293</v>
      </c>
      <c r="B10" s="30" t="s">
        <v>294</v>
      </c>
      <c r="C10" s="30" t="s">
        <v>66</v>
      </c>
      <c r="D10" s="30" t="s">
        <v>295</v>
      </c>
      <c r="E10" s="31">
        <v>45078</v>
      </c>
      <c r="F10" s="31">
        <v>45596</v>
      </c>
      <c r="G10" s="43">
        <v>17</v>
      </c>
      <c r="H10" s="44" t="s">
        <v>56</v>
      </c>
      <c r="I10" s="30" t="s">
        <v>296</v>
      </c>
      <c r="J10" s="30" t="s">
        <v>266</v>
      </c>
      <c r="K10" s="30" t="s">
        <v>259</v>
      </c>
      <c r="L10" s="30" t="s">
        <v>297</v>
      </c>
      <c r="M10" s="30" t="s">
        <v>298</v>
      </c>
    </row>
    <row r="11" spans="1:13" ht="18" customHeight="1" x14ac:dyDescent="0.3">
      <c r="A11" s="35" t="s">
        <v>299</v>
      </c>
      <c r="B11" s="35" t="s">
        <v>300</v>
      </c>
      <c r="C11" s="35" t="s">
        <v>78</v>
      </c>
      <c r="D11" s="35" t="s">
        <v>301</v>
      </c>
      <c r="E11" s="36">
        <v>44423</v>
      </c>
      <c r="F11" s="36">
        <v>45611</v>
      </c>
      <c r="G11" s="40">
        <v>39</v>
      </c>
      <c r="H11" s="38" t="s">
        <v>57</v>
      </c>
      <c r="I11" s="35" t="s">
        <v>79</v>
      </c>
      <c r="J11" s="35" t="s">
        <v>302</v>
      </c>
      <c r="K11" s="35" t="s">
        <v>259</v>
      </c>
      <c r="L11" s="35" t="s">
        <v>260</v>
      </c>
      <c r="M11" s="35" t="s">
        <v>303</v>
      </c>
    </row>
    <row r="12" spans="1:13" ht="18" customHeight="1" x14ac:dyDescent="0.3">
      <c r="A12" s="30" t="s">
        <v>304</v>
      </c>
      <c r="B12" s="30" t="s">
        <v>305</v>
      </c>
      <c r="C12" s="30" t="s">
        <v>80</v>
      </c>
      <c r="D12" s="30" t="s">
        <v>306</v>
      </c>
      <c r="E12" s="31">
        <v>44562</v>
      </c>
      <c r="F12" s="31">
        <v>45626</v>
      </c>
      <c r="G12" s="43">
        <v>35</v>
      </c>
      <c r="H12" s="44" t="s">
        <v>56</v>
      </c>
      <c r="I12" s="30" t="s">
        <v>81</v>
      </c>
      <c r="J12" s="30" t="s">
        <v>290</v>
      </c>
      <c r="K12" s="30" t="s">
        <v>259</v>
      </c>
      <c r="L12" s="30" t="s">
        <v>273</v>
      </c>
      <c r="M12" s="30" t="s">
        <v>307</v>
      </c>
    </row>
    <row r="13" spans="1:13" ht="18" customHeight="1" x14ac:dyDescent="0.3">
      <c r="A13" s="35" t="s">
        <v>308</v>
      </c>
      <c r="B13" s="35" t="s">
        <v>309</v>
      </c>
      <c r="C13" s="35" t="s">
        <v>66</v>
      </c>
      <c r="D13" s="35" t="s">
        <v>310</v>
      </c>
      <c r="E13" s="36">
        <v>45170</v>
      </c>
      <c r="F13" s="36">
        <v>45641</v>
      </c>
      <c r="G13" s="40">
        <v>16</v>
      </c>
      <c r="H13" s="44" t="s">
        <v>56</v>
      </c>
      <c r="I13" s="35" t="s">
        <v>285</v>
      </c>
      <c r="J13" s="35" t="s">
        <v>311</v>
      </c>
      <c r="K13" s="35" t="s">
        <v>259</v>
      </c>
      <c r="L13" s="35" t="s">
        <v>260</v>
      </c>
      <c r="M13" s="35" t="s">
        <v>312</v>
      </c>
    </row>
    <row r="14" spans="1:13" ht="18" customHeight="1" x14ac:dyDescent="0.3">
      <c r="A14" s="30" t="s">
        <v>313</v>
      </c>
      <c r="B14" s="30" t="s">
        <v>314</v>
      </c>
      <c r="C14" s="30" t="s">
        <v>76</v>
      </c>
      <c r="D14" s="30" t="s">
        <v>315</v>
      </c>
      <c r="E14" s="31">
        <v>44743</v>
      </c>
      <c r="F14" s="31">
        <v>45667</v>
      </c>
      <c r="G14" s="43">
        <v>30</v>
      </c>
      <c r="H14" s="44" t="s">
        <v>56</v>
      </c>
      <c r="I14" s="30" t="s">
        <v>81</v>
      </c>
      <c r="J14" s="30" t="s">
        <v>316</v>
      </c>
      <c r="K14" s="30" t="s">
        <v>259</v>
      </c>
      <c r="L14" s="30" t="s">
        <v>267</v>
      </c>
      <c r="M14" s="30" t="s">
        <v>317</v>
      </c>
    </row>
    <row r="15" spans="1:13" ht="18" customHeight="1" x14ac:dyDescent="0.3">
      <c r="A15" s="35" t="s">
        <v>318</v>
      </c>
      <c r="B15" s="35" t="s">
        <v>319</v>
      </c>
      <c r="C15" s="35" t="s">
        <v>82</v>
      </c>
      <c r="D15" s="35" t="s">
        <v>320</v>
      </c>
      <c r="E15" s="36">
        <v>45200</v>
      </c>
      <c r="F15" s="36">
        <v>45688</v>
      </c>
      <c r="G15" s="40">
        <v>16</v>
      </c>
      <c r="H15" s="44" t="s">
        <v>56</v>
      </c>
      <c r="I15" s="35" t="s">
        <v>83</v>
      </c>
      <c r="J15" s="35" t="s">
        <v>258</v>
      </c>
      <c r="K15" s="35" t="s">
        <v>291</v>
      </c>
      <c r="L15" s="35" t="s">
        <v>260</v>
      </c>
      <c r="M15" s="35" t="s">
        <v>321</v>
      </c>
    </row>
    <row r="16" spans="1:13" ht="18" customHeight="1" x14ac:dyDescent="0.3">
      <c r="A16" s="30" t="s">
        <v>322</v>
      </c>
      <c r="B16" s="30" t="s">
        <v>323</v>
      </c>
      <c r="C16" s="30" t="s">
        <v>70</v>
      </c>
      <c r="D16" s="30" t="s">
        <v>324</v>
      </c>
      <c r="E16" s="31">
        <v>44270</v>
      </c>
      <c r="F16" s="31">
        <v>45702</v>
      </c>
      <c r="G16" s="43">
        <v>47</v>
      </c>
      <c r="H16" s="38" t="s">
        <v>57</v>
      </c>
      <c r="I16" s="30" t="s">
        <v>277</v>
      </c>
      <c r="J16" s="30" t="s">
        <v>325</v>
      </c>
      <c r="K16" s="54" t="s">
        <v>291</v>
      </c>
      <c r="L16" s="30" t="s">
        <v>326</v>
      </c>
      <c r="M16" s="30" t="s">
        <v>327</v>
      </c>
    </row>
    <row r="17" spans="1:13" ht="18" customHeight="1" x14ac:dyDescent="0.3">
      <c r="A17" s="35" t="s">
        <v>328</v>
      </c>
      <c r="B17" s="35" t="s">
        <v>329</v>
      </c>
      <c r="C17" s="35" t="s">
        <v>68</v>
      </c>
      <c r="D17" s="35" t="s">
        <v>330</v>
      </c>
      <c r="E17" s="36">
        <v>44682</v>
      </c>
      <c r="F17" s="36">
        <v>45716</v>
      </c>
      <c r="G17" s="40">
        <v>33</v>
      </c>
      <c r="H17" s="44" t="s">
        <v>56</v>
      </c>
      <c r="I17" s="35" t="s">
        <v>265</v>
      </c>
      <c r="J17" s="35" t="s">
        <v>331</v>
      </c>
      <c r="K17" s="35" t="s">
        <v>259</v>
      </c>
      <c r="L17" s="35" t="s">
        <v>260</v>
      </c>
      <c r="M17" s="35" t="s">
        <v>332</v>
      </c>
    </row>
    <row r="18" spans="1:13" ht="18" customHeight="1" x14ac:dyDescent="0.3">
      <c r="A18" s="30" t="s">
        <v>333</v>
      </c>
      <c r="B18" s="30" t="s">
        <v>334</v>
      </c>
      <c r="C18" s="30" t="s">
        <v>66</v>
      </c>
      <c r="D18" s="30" t="s">
        <v>244</v>
      </c>
      <c r="E18" s="31">
        <v>45296</v>
      </c>
      <c r="F18" s="31">
        <v>45731</v>
      </c>
      <c r="G18" s="43">
        <v>14</v>
      </c>
      <c r="H18" s="44" t="s">
        <v>56</v>
      </c>
      <c r="I18" s="30" t="s">
        <v>81</v>
      </c>
      <c r="J18" s="30" t="s">
        <v>272</v>
      </c>
      <c r="K18" s="30" t="s">
        <v>259</v>
      </c>
      <c r="L18" s="30" t="s">
        <v>335</v>
      </c>
      <c r="M18" s="30" t="s">
        <v>336</v>
      </c>
    </row>
    <row r="19" spans="1:13" ht="18" customHeight="1" x14ac:dyDescent="0.3">
      <c r="A19" s="35" t="s">
        <v>337</v>
      </c>
      <c r="B19" s="35" t="s">
        <v>338</v>
      </c>
      <c r="C19" s="35" t="s">
        <v>74</v>
      </c>
      <c r="D19" s="35" t="s">
        <v>215</v>
      </c>
      <c r="E19" s="36">
        <v>44958</v>
      </c>
      <c r="F19" s="36">
        <v>45747</v>
      </c>
      <c r="G19" s="40">
        <v>26</v>
      </c>
      <c r="H19" s="44" t="s">
        <v>56</v>
      </c>
      <c r="I19" s="35" t="s">
        <v>83</v>
      </c>
      <c r="J19" s="35" t="s">
        <v>290</v>
      </c>
      <c r="K19" s="35" t="s">
        <v>259</v>
      </c>
      <c r="L19" s="35" t="s">
        <v>260</v>
      </c>
      <c r="M19" s="35" t="s">
        <v>339</v>
      </c>
    </row>
    <row r="20" spans="1:13" ht="18" customHeight="1" x14ac:dyDescent="0.3">
      <c r="A20" s="30" t="s">
        <v>340</v>
      </c>
      <c r="B20" s="30" t="s">
        <v>341</v>
      </c>
      <c r="C20" s="30" t="s">
        <v>72</v>
      </c>
      <c r="D20" s="30" t="s">
        <v>342</v>
      </c>
      <c r="E20" s="31">
        <v>44788</v>
      </c>
      <c r="F20" s="31">
        <v>45762</v>
      </c>
      <c r="G20" s="43">
        <v>32</v>
      </c>
      <c r="H20" s="38" t="s">
        <v>57</v>
      </c>
      <c r="I20" s="30" t="s">
        <v>79</v>
      </c>
      <c r="J20" s="30" t="s">
        <v>343</v>
      </c>
      <c r="K20" s="30" t="s">
        <v>259</v>
      </c>
      <c r="L20" s="30" t="s">
        <v>279</v>
      </c>
      <c r="M20" s="30" t="s">
        <v>344</v>
      </c>
    </row>
    <row r="21" spans="1:13" ht="18" customHeight="1" x14ac:dyDescent="0.3">
      <c r="A21" s="35" t="s">
        <v>345</v>
      </c>
      <c r="B21" s="35" t="s">
        <v>346</v>
      </c>
      <c r="C21" s="35" t="s">
        <v>66</v>
      </c>
      <c r="D21" s="35" t="s">
        <v>146</v>
      </c>
      <c r="E21" s="36">
        <v>45017</v>
      </c>
      <c r="F21" s="36">
        <v>45777</v>
      </c>
      <c r="G21" s="40">
        <v>25</v>
      </c>
      <c r="H21" s="44" t="s">
        <v>56</v>
      </c>
      <c r="I21" s="35" t="s">
        <v>296</v>
      </c>
      <c r="J21" s="35" t="s">
        <v>284</v>
      </c>
      <c r="K21" s="35" t="s">
        <v>259</v>
      </c>
      <c r="L21" s="35" t="s">
        <v>260</v>
      </c>
      <c r="M21" s="35" t="s">
        <v>347</v>
      </c>
    </row>
    <row r="23" spans="1:13" ht="7.5" customHeight="1" x14ac:dyDescent="0.3"/>
    <row r="24" spans="1:13" ht="19.5" customHeight="1" x14ac:dyDescent="0.3">
      <c r="A24" s="135" t="s">
        <v>348</v>
      </c>
      <c r="B24" s="135"/>
      <c r="C24" s="135" t="s">
        <v>56</v>
      </c>
      <c r="D24" s="135"/>
      <c r="E24" s="135" t="s">
        <v>57</v>
      </c>
      <c r="F24" s="135"/>
      <c r="G24" s="135" t="s">
        <v>349</v>
      </c>
      <c r="H24" s="135"/>
      <c r="I24" s="135" t="s">
        <v>254</v>
      </c>
      <c r="J24" s="135"/>
    </row>
    <row r="25" spans="1:13" ht="30" customHeight="1" x14ac:dyDescent="0.3">
      <c r="A25" s="55"/>
      <c r="B25" s="55">
        <f>COUNTA(A4:A21)</f>
        <v>18</v>
      </c>
      <c r="C25" s="55"/>
      <c r="D25" s="55">
        <f>COUNTIF(H4:H21,"Voluntary")</f>
        <v>14</v>
      </c>
      <c r="E25" s="55"/>
      <c r="F25" s="55">
        <f>COUNTIF(H4:H21,"Involuntary")</f>
        <v>4</v>
      </c>
      <c r="G25" s="56"/>
      <c r="H25" s="56">
        <f>AVERAGE(G4:G21)</f>
        <v>29.444444444444443</v>
      </c>
      <c r="I25" s="55"/>
      <c r="J25" s="55">
        <f>COUNTIF(K4:K21,"Yes")</f>
        <v>15</v>
      </c>
    </row>
  </sheetData>
  <mergeCells count="7">
    <mergeCell ref="A1:M1"/>
    <mergeCell ref="A2:M2"/>
    <mergeCell ref="A24:B24"/>
    <mergeCell ref="C24:D24"/>
    <mergeCell ref="E24:F24"/>
    <mergeCell ref="G24:H24"/>
    <mergeCell ref="I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34AB7"/>
  </sheetPr>
  <dimension ref="A1:P2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P1"/>
    </sheetView>
  </sheetViews>
  <sheetFormatPr defaultColWidth="8.6640625" defaultRowHeight="14.4" x14ac:dyDescent="0.3"/>
  <cols>
    <col min="1" max="1" width="24" customWidth="1"/>
    <col min="2" max="13" width="9" customWidth="1"/>
    <col min="14" max="14" width="10" customWidth="1"/>
  </cols>
  <sheetData>
    <row r="1" spans="1:16" ht="30" customHeight="1" x14ac:dyDescent="0.3">
      <c r="A1" s="140" t="s">
        <v>546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ht="15.75" customHeight="1" x14ac:dyDescent="0.3">
      <c r="A2" s="141" t="s">
        <v>552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 ht="21.75" customHeight="1" x14ac:dyDescent="0.3">
      <c r="A3" s="142" t="s">
        <v>553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</row>
    <row r="4" spans="1:16" ht="19.5" customHeight="1" x14ac:dyDescent="0.3">
      <c r="A4" s="16" t="s">
        <v>350</v>
      </c>
      <c r="B4" s="16" t="s">
        <v>351</v>
      </c>
      <c r="C4" s="16" t="s">
        <v>352</v>
      </c>
      <c r="D4" s="16" t="s">
        <v>353</v>
      </c>
      <c r="E4" s="16" t="s">
        <v>354</v>
      </c>
      <c r="F4" s="16" t="s">
        <v>355</v>
      </c>
      <c r="G4" s="16" t="s">
        <v>356</v>
      </c>
      <c r="H4" s="16" t="s">
        <v>357</v>
      </c>
      <c r="I4" s="16" t="s">
        <v>358</v>
      </c>
      <c r="J4" s="16" t="s">
        <v>359</v>
      </c>
      <c r="K4" s="16" t="s">
        <v>360</v>
      </c>
      <c r="L4" s="16" t="s">
        <v>361</v>
      </c>
      <c r="M4" s="16" t="s">
        <v>362</v>
      </c>
      <c r="N4" s="16" t="s">
        <v>363</v>
      </c>
    </row>
    <row r="5" spans="1:16" ht="18" customHeight="1" x14ac:dyDescent="0.3">
      <c r="A5" s="57" t="s">
        <v>364</v>
      </c>
      <c r="B5" s="58">
        <v>8</v>
      </c>
      <c r="C5" s="58">
        <v>10</v>
      </c>
      <c r="D5" s="58">
        <v>7</v>
      </c>
      <c r="E5" s="58">
        <v>12</v>
      </c>
      <c r="F5" s="58">
        <v>9</v>
      </c>
      <c r="G5" s="58">
        <v>11</v>
      </c>
      <c r="H5" s="58">
        <v>14</v>
      </c>
      <c r="I5" s="58">
        <v>13</v>
      </c>
      <c r="J5" s="58">
        <v>8</v>
      </c>
      <c r="K5" s="58">
        <v>20</v>
      </c>
      <c r="L5" s="58">
        <v>15</v>
      </c>
      <c r="M5" s="58">
        <v>10</v>
      </c>
      <c r="N5" s="59">
        <f>SUM(B5:M5)</f>
        <v>137</v>
      </c>
    </row>
    <row r="6" spans="1:16" ht="18" customHeight="1" x14ac:dyDescent="0.3">
      <c r="A6" s="57" t="s">
        <v>365</v>
      </c>
      <c r="B6" s="60">
        <v>3</v>
      </c>
      <c r="C6" s="60">
        <v>4</v>
      </c>
      <c r="D6" s="60">
        <v>2</v>
      </c>
      <c r="E6" s="60">
        <v>5</v>
      </c>
      <c r="F6" s="60">
        <v>3</v>
      </c>
      <c r="G6" s="60">
        <v>4</v>
      </c>
      <c r="H6" s="60">
        <v>5</v>
      </c>
      <c r="I6" s="60">
        <v>4</v>
      </c>
      <c r="J6" s="60">
        <v>3</v>
      </c>
      <c r="K6" s="60">
        <v>6</v>
      </c>
      <c r="L6" s="60">
        <v>4</v>
      </c>
      <c r="M6" s="60">
        <v>3</v>
      </c>
      <c r="N6" s="59">
        <f>SUM(B6:M6)</f>
        <v>46</v>
      </c>
    </row>
    <row r="7" spans="1:16" ht="18" customHeight="1" x14ac:dyDescent="0.3">
      <c r="A7" s="57" t="s">
        <v>366</v>
      </c>
      <c r="B7" s="58">
        <v>2</v>
      </c>
      <c r="C7" s="58">
        <v>3</v>
      </c>
      <c r="D7" s="58">
        <v>2</v>
      </c>
      <c r="E7" s="58">
        <v>4</v>
      </c>
      <c r="F7" s="58">
        <v>2</v>
      </c>
      <c r="G7" s="58">
        <v>3</v>
      </c>
      <c r="H7" s="58">
        <v>4</v>
      </c>
      <c r="I7" s="58">
        <v>3</v>
      </c>
      <c r="J7" s="58">
        <v>2</v>
      </c>
      <c r="K7" s="58">
        <v>5</v>
      </c>
      <c r="L7" s="58">
        <v>3</v>
      </c>
      <c r="M7" s="58">
        <v>2</v>
      </c>
      <c r="N7" s="59">
        <f>SUM(B7:M7)</f>
        <v>35</v>
      </c>
    </row>
    <row r="8" spans="1:16" ht="18" customHeight="1" x14ac:dyDescent="0.3">
      <c r="A8" s="57" t="s">
        <v>5</v>
      </c>
      <c r="B8" s="60">
        <v>4</v>
      </c>
      <c r="C8" s="60">
        <v>5</v>
      </c>
      <c r="D8" s="60">
        <v>3</v>
      </c>
      <c r="E8" s="60">
        <v>6</v>
      </c>
      <c r="F8" s="60">
        <v>4</v>
      </c>
      <c r="G8" s="60">
        <v>5</v>
      </c>
      <c r="H8" s="60">
        <v>7</v>
      </c>
      <c r="I8" s="60">
        <v>6</v>
      </c>
      <c r="J8" s="60">
        <v>4</v>
      </c>
      <c r="K8" s="60">
        <v>8</v>
      </c>
      <c r="L8" s="60">
        <v>5</v>
      </c>
      <c r="M8" s="60">
        <v>4</v>
      </c>
      <c r="N8" s="59">
        <f>SUM(B8:M8)</f>
        <v>61</v>
      </c>
    </row>
    <row r="9" spans="1:16" ht="18" customHeight="1" x14ac:dyDescent="0.3">
      <c r="A9" s="57" t="s">
        <v>7</v>
      </c>
      <c r="B9" s="61">
        <v>28</v>
      </c>
      <c r="C9" s="61">
        <v>30</v>
      </c>
      <c r="D9" s="61">
        <v>25</v>
      </c>
      <c r="E9" s="61">
        <v>32</v>
      </c>
      <c r="F9" s="61">
        <v>27</v>
      </c>
      <c r="G9" s="61">
        <v>29</v>
      </c>
      <c r="H9" s="61">
        <v>31</v>
      </c>
      <c r="I9" s="61">
        <v>28</v>
      </c>
      <c r="J9" s="61">
        <v>26</v>
      </c>
      <c r="K9" s="61">
        <v>24</v>
      </c>
      <c r="L9" s="61">
        <v>27</v>
      </c>
      <c r="M9" s="61">
        <v>30</v>
      </c>
      <c r="N9" s="62">
        <f>AVERAGE(B9:M9)</f>
        <v>28.083333333333332</v>
      </c>
    </row>
    <row r="10" spans="1:16" ht="18" customHeight="1" x14ac:dyDescent="0.3">
      <c r="A10" s="57" t="s">
        <v>367</v>
      </c>
      <c r="B10" s="63">
        <v>67</v>
      </c>
      <c r="C10" s="63">
        <v>75</v>
      </c>
      <c r="D10" s="63">
        <v>100</v>
      </c>
      <c r="E10" s="63">
        <v>80</v>
      </c>
      <c r="F10" s="63">
        <v>67</v>
      </c>
      <c r="G10" s="63">
        <v>75</v>
      </c>
      <c r="H10" s="63">
        <v>80</v>
      </c>
      <c r="I10" s="63">
        <v>75</v>
      </c>
      <c r="J10" s="63">
        <v>67</v>
      </c>
      <c r="K10" s="63">
        <v>83</v>
      </c>
      <c r="L10" s="63">
        <v>75</v>
      </c>
      <c r="M10" s="63">
        <v>67</v>
      </c>
      <c r="N10" s="62">
        <f>AVERAGE(B10:M10)</f>
        <v>75.916666666666671</v>
      </c>
    </row>
    <row r="11" spans="1:16" ht="7.5" customHeight="1" x14ac:dyDescent="0.3"/>
    <row r="12" spans="1:16" ht="21.75" customHeight="1" x14ac:dyDescent="0.3">
      <c r="A12" s="112" t="s">
        <v>554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1:16" ht="19.5" customHeight="1" x14ac:dyDescent="0.3">
      <c r="A13" s="27" t="s">
        <v>350</v>
      </c>
      <c r="B13" s="27" t="s">
        <v>351</v>
      </c>
      <c r="C13" s="27" t="s">
        <v>352</v>
      </c>
      <c r="D13" s="27" t="s">
        <v>353</v>
      </c>
      <c r="E13" s="27" t="s">
        <v>354</v>
      </c>
      <c r="F13" s="27" t="s">
        <v>355</v>
      </c>
      <c r="G13" s="27" t="s">
        <v>356</v>
      </c>
      <c r="H13" s="27" t="s">
        <v>357</v>
      </c>
      <c r="I13" s="27" t="s">
        <v>358</v>
      </c>
      <c r="J13" s="27" t="s">
        <v>359</v>
      </c>
      <c r="K13" s="27" t="s">
        <v>360</v>
      </c>
      <c r="L13" s="27" t="s">
        <v>361</v>
      </c>
      <c r="M13" s="27" t="s">
        <v>362</v>
      </c>
      <c r="N13" s="27" t="s">
        <v>363</v>
      </c>
    </row>
    <row r="14" spans="1:16" ht="18" customHeight="1" x14ac:dyDescent="0.3">
      <c r="A14" s="64" t="s">
        <v>348</v>
      </c>
      <c r="B14" s="65">
        <v>1</v>
      </c>
      <c r="C14" s="65">
        <v>2</v>
      </c>
      <c r="D14" s="65">
        <v>1</v>
      </c>
      <c r="E14" s="65">
        <v>2</v>
      </c>
      <c r="F14" s="65">
        <v>3</v>
      </c>
      <c r="G14" s="65">
        <v>2</v>
      </c>
      <c r="H14" s="65">
        <v>2</v>
      </c>
      <c r="I14" s="65">
        <v>2</v>
      </c>
      <c r="J14" s="65">
        <v>1</v>
      </c>
      <c r="K14" s="65">
        <v>1</v>
      </c>
      <c r="L14" s="65">
        <v>2</v>
      </c>
      <c r="M14" s="65">
        <v>1</v>
      </c>
      <c r="N14" s="59">
        <f>SUM(B14:M14)</f>
        <v>20</v>
      </c>
    </row>
    <row r="15" spans="1:16" ht="18" customHeight="1" x14ac:dyDescent="0.3">
      <c r="A15" s="64" t="s">
        <v>368</v>
      </c>
      <c r="B15" s="58">
        <v>1</v>
      </c>
      <c r="C15" s="58">
        <v>1</v>
      </c>
      <c r="D15" s="58">
        <v>1</v>
      </c>
      <c r="E15" s="58">
        <v>2</v>
      </c>
      <c r="F15" s="58">
        <v>2</v>
      </c>
      <c r="G15" s="58">
        <v>2</v>
      </c>
      <c r="H15" s="58">
        <v>2</v>
      </c>
      <c r="I15" s="58">
        <v>2</v>
      </c>
      <c r="J15" s="58">
        <v>1</v>
      </c>
      <c r="K15" s="58">
        <v>1</v>
      </c>
      <c r="L15" s="58">
        <v>2</v>
      </c>
      <c r="M15" s="58">
        <v>1</v>
      </c>
      <c r="N15" s="59">
        <f>SUM(B15:M15)</f>
        <v>18</v>
      </c>
    </row>
    <row r="16" spans="1:16" ht="18" customHeight="1" x14ac:dyDescent="0.3">
      <c r="A16" s="64" t="s">
        <v>369</v>
      </c>
      <c r="B16" s="65">
        <v>0</v>
      </c>
      <c r="C16" s="65">
        <v>1</v>
      </c>
      <c r="D16" s="65">
        <v>0</v>
      </c>
      <c r="E16" s="65">
        <v>0</v>
      </c>
      <c r="F16" s="65">
        <v>1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59">
        <f>SUM(B16:M16)</f>
        <v>2</v>
      </c>
    </row>
    <row r="17" spans="1:16" ht="18" customHeight="1" x14ac:dyDescent="0.3">
      <c r="A17" s="64" t="s">
        <v>370</v>
      </c>
      <c r="B17" s="61">
        <v>1.2</v>
      </c>
      <c r="C17" s="61">
        <v>2.4</v>
      </c>
      <c r="D17" s="61">
        <v>1.2</v>
      </c>
      <c r="E17" s="61">
        <v>2.4</v>
      </c>
      <c r="F17" s="61">
        <v>3.6</v>
      </c>
      <c r="G17" s="61">
        <v>2.4</v>
      </c>
      <c r="H17" s="61">
        <v>2.4</v>
      </c>
      <c r="I17" s="61">
        <v>2.4</v>
      </c>
      <c r="J17" s="61">
        <v>1.2</v>
      </c>
      <c r="K17" s="61">
        <v>1.2</v>
      </c>
      <c r="L17" s="61">
        <v>2.4</v>
      </c>
      <c r="M17" s="61">
        <v>1.2</v>
      </c>
      <c r="N17" s="62">
        <f>AVERAGE(B17:M17)</f>
        <v>1.9999999999999998</v>
      </c>
    </row>
    <row r="18" spans="1:16" ht="18" customHeight="1" x14ac:dyDescent="0.3">
      <c r="A18" s="64" t="s">
        <v>371</v>
      </c>
      <c r="B18" s="66">
        <v>30</v>
      </c>
      <c r="C18" s="66">
        <v>22</v>
      </c>
      <c r="D18" s="66">
        <v>35</v>
      </c>
      <c r="E18" s="66">
        <v>26</v>
      </c>
      <c r="F18" s="66">
        <v>28</v>
      </c>
      <c r="G18" s="66">
        <v>40</v>
      </c>
      <c r="H18" s="66">
        <v>23</v>
      </c>
      <c r="I18" s="66">
        <v>39</v>
      </c>
      <c r="J18" s="66">
        <v>35</v>
      </c>
      <c r="K18" s="66">
        <v>26</v>
      </c>
      <c r="L18" s="66">
        <v>14</v>
      </c>
      <c r="M18" s="66">
        <v>33</v>
      </c>
      <c r="N18" s="62">
        <f>AVERAGE(B18:M18)</f>
        <v>29.25</v>
      </c>
    </row>
    <row r="19" spans="1:16" ht="7.5" customHeight="1" x14ac:dyDescent="0.3"/>
    <row r="20" spans="1:16" ht="21.75" customHeight="1" x14ac:dyDescent="0.3">
      <c r="A20" s="5" t="s">
        <v>555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9.5" customHeight="1" x14ac:dyDescent="0.3">
      <c r="A21" s="22" t="s">
        <v>350</v>
      </c>
      <c r="B21" s="22" t="s">
        <v>351</v>
      </c>
      <c r="C21" s="22" t="s">
        <v>352</v>
      </c>
      <c r="D21" s="22" t="s">
        <v>353</v>
      </c>
      <c r="E21" s="22" t="s">
        <v>354</v>
      </c>
      <c r="F21" s="22" t="s">
        <v>355</v>
      </c>
      <c r="G21" s="22" t="s">
        <v>356</v>
      </c>
      <c r="H21" s="22" t="s">
        <v>357</v>
      </c>
      <c r="I21" s="22" t="s">
        <v>358</v>
      </c>
      <c r="J21" s="22" t="s">
        <v>359</v>
      </c>
      <c r="K21" s="22" t="s">
        <v>360</v>
      </c>
      <c r="L21" s="22" t="s">
        <v>361</v>
      </c>
      <c r="M21" s="22" t="s">
        <v>362</v>
      </c>
      <c r="N21" s="22" t="s">
        <v>363</v>
      </c>
    </row>
    <row r="22" spans="1:16" ht="18" customHeight="1" x14ac:dyDescent="0.3">
      <c r="A22" s="67" t="s">
        <v>372</v>
      </c>
      <c r="B22" s="68">
        <v>2</v>
      </c>
      <c r="C22" s="68">
        <v>3</v>
      </c>
      <c r="D22" s="68">
        <v>2</v>
      </c>
      <c r="E22" s="68">
        <v>4</v>
      </c>
      <c r="F22" s="68">
        <v>2</v>
      </c>
      <c r="G22" s="68">
        <v>3</v>
      </c>
      <c r="H22" s="68">
        <v>4</v>
      </c>
      <c r="I22" s="68">
        <v>3</v>
      </c>
      <c r="J22" s="68">
        <v>2</v>
      </c>
      <c r="K22" s="68">
        <v>5</v>
      </c>
      <c r="L22" s="68">
        <v>3</v>
      </c>
      <c r="M22" s="68">
        <v>2</v>
      </c>
      <c r="N22" s="59">
        <f>SUM(B22:M22)</f>
        <v>35</v>
      </c>
    </row>
    <row r="23" spans="1:16" ht="18" customHeight="1" x14ac:dyDescent="0.3">
      <c r="A23" s="67" t="s">
        <v>373</v>
      </c>
      <c r="B23" s="58">
        <v>2</v>
      </c>
      <c r="C23" s="58">
        <v>3</v>
      </c>
      <c r="D23" s="58">
        <v>2</v>
      </c>
      <c r="E23" s="58">
        <v>3</v>
      </c>
      <c r="F23" s="58">
        <v>2</v>
      </c>
      <c r="G23" s="58">
        <v>3</v>
      </c>
      <c r="H23" s="58">
        <v>3</v>
      </c>
      <c r="I23" s="58">
        <v>3</v>
      </c>
      <c r="J23" s="58">
        <v>2</v>
      </c>
      <c r="K23" s="58">
        <v>4</v>
      </c>
      <c r="L23" s="58">
        <v>2</v>
      </c>
      <c r="M23" s="58">
        <v>1</v>
      </c>
      <c r="N23" s="59">
        <f>SUM(B23:M23)</f>
        <v>30</v>
      </c>
    </row>
    <row r="24" spans="1:16" ht="18" customHeight="1" x14ac:dyDescent="0.3">
      <c r="A24" s="67" t="s">
        <v>374</v>
      </c>
      <c r="B24" s="68">
        <v>0</v>
      </c>
      <c r="C24" s="68">
        <v>0</v>
      </c>
      <c r="D24" s="68">
        <v>0</v>
      </c>
      <c r="E24" s="68">
        <v>1</v>
      </c>
      <c r="F24" s="68">
        <v>0</v>
      </c>
      <c r="G24" s="68">
        <v>0</v>
      </c>
      <c r="H24" s="68">
        <v>1</v>
      </c>
      <c r="I24" s="68">
        <v>0</v>
      </c>
      <c r="J24" s="68">
        <v>0</v>
      </c>
      <c r="K24" s="68">
        <v>1</v>
      </c>
      <c r="L24" s="68">
        <v>1</v>
      </c>
      <c r="M24" s="68">
        <v>1</v>
      </c>
      <c r="N24" s="59">
        <f>SUM(B24:M24)</f>
        <v>5</v>
      </c>
    </row>
    <row r="25" spans="1:16" ht="18" customHeight="1" x14ac:dyDescent="0.3">
      <c r="A25" s="67" t="s">
        <v>375</v>
      </c>
      <c r="B25" s="61">
        <v>100</v>
      </c>
      <c r="C25" s="61">
        <v>100</v>
      </c>
      <c r="D25" s="61">
        <v>100</v>
      </c>
      <c r="E25" s="61">
        <v>75</v>
      </c>
      <c r="F25" s="61">
        <v>100</v>
      </c>
      <c r="G25" s="61">
        <v>100</v>
      </c>
      <c r="H25" s="61">
        <v>75</v>
      </c>
      <c r="I25" s="61">
        <v>100</v>
      </c>
      <c r="J25" s="61">
        <v>100</v>
      </c>
      <c r="K25" s="61">
        <v>80</v>
      </c>
      <c r="L25" s="61">
        <v>67</v>
      </c>
      <c r="M25" s="61">
        <v>50</v>
      </c>
      <c r="N25" s="62">
        <f>AVERAGE(B25:M25)</f>
        <v>87.25</v>
      </c>
    </row>
  </sheetData>
  <mergeCells count="5">
    <mergeCell ref="A1:P1"/>
    <mergeCell ref="A2:P2"/>
    <mergeCell ref="A3:P3"/>
    <mergeCell ref="A12:P12"/>
    <mergeCell ref="A20:P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E56"/>
  </sheetPr>
  <dimension ref="A1:N38"/>
  <sheetViews>
    <sheetView zoomScaleNormal="100" workbookViewId="0">
      <pane ySplit="4" topLeftCell="A7" activePane="bottomLeft" state="frozen"/>
      <selection pane="bottomLeft" activeCell="J29" sqref="J29"/>
    </sheetView>
  </sheetViews>
  <sheetFormatPr defaultColWidth="8.6640625" defaultRowHeight="14.4" x14ac:dyDescent="0.3"/>
  <cols>
    <col min="1" max="1" width="28" customWidth="1"/>
    <col min="2" max="4" width="15.5546875" customWidth="1"/>
    <col min="5" max="5" width="15" customWidth="1"/>
    <col min="6" max="6" width="10" customWidth="1"/>
    <col min="7" max="7" width="15.88671875" customWidth="1"/>
    <col min="8" max="8" width="12" customWidth="1"/>
    <col min="9" max="9" width="14" customWidth="1"/>
    <col min="10" max="10" width="24" customWidth="1"/>
  </cols>
  <sheetData>
    <row r="1" spans="1:14" ht="30" customHeight="1" x14ac:dyDescent="0.3">
      <c r="A1" s="143" t="s">
        <v>542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14" ht="15.75" customHeight="1" x14ac:dyDescent="0.3">
      <c r="A2" s="144" t="s">
        <v>556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1:14" ht="21.75" customHeight="1" x14ac:dyDescent="0.3">
      <c r="A3" s="145" t="s">
        <v>557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</row>
    <row r="4" spans="1:14" ht="21.75" customHeight="1" x14ac:dyDescent="0.3">
      <c r="A4" s="69" t="s">
        <v>63</v>
      </c>
      <c r="B4" s="69" t="s">
        <v>376</v>
      </c>
      <c r="C4" s="69" t="s">
        <v>377</v>
      </c>
      <c r="D4" s="69" t="s">
        <v>378</v>
      </c>
      <c r="E4" s="69" t="s">
        <v>379</v>
      </c>
      <c r="F4" s="69" t="s">
        <v>380</v>
      </c>
      <c r="G4" s="69" t="s">
        <v>381</v>
      </c>
      <c r="H4" s="69" t="s">
        <v>382</v>
      </c>
      <c r="I4" s="69" t="s">
        <v>6</v>
      </c>
      <c r="J4" s="69" t="s">
        <v>119</v>
      </c>
    </row>
    <row r="5" spans="1:14" ht="18" customHeight="1" x14ac:dyDescent="0.3">
      <c r="A5" s="35" t="s">
        <v>66</v>
      </c>
      <c r="B5" s="37">
        <v>28</v>
      </c>
      <c r="C5" s="37">
        <v>20</v>
      </c>
      <c r="D5" s="37">
        <v>7</v>
      </c>
      <c r="E5" s="37">
        <v>1</v>
      </c>
      <c r="F5" s="70">
        <f t="shared" ref="F5:F14" si="0">D5/B5</f>
        <v>0.25</v>
      </c>
      <c r="G5" s="71">
        <v>24</v>
      </c>
      <c r="H5" s="71">
        <v>29</v>
      </c>
      <c r="I5" s="37">
        <v>4</v>
      </c>
      <c r="J5" s="37" t="s">
        <v>383</v>
      </c>
    </row>
    <row r="6" spans="1:14" ht="18" customHeight="1" x14ac:dyDescent="0.3">
      <c r="A6" s="72" t="s">
        <v>68</v>
      </c>
      <c r="B6" s="73">
        <v>10</v>
      </c>
      <c r="C6" s="73">
        <v>6</v>
      </c>
      <c r="D6" s="73">
        <v>4</v>
      </c>
      <c r="E6" s="73">
        <v>0</v>
      </c>
      <c r="F6" s="74">
        <f t="shared" si="0"/>
        <v>0.4</v>
      </c>
      <c r="G6" s="75">
        <v>22</v>
      </c>
      <c r="H6" s="75">
        <v>31</v>
      </c>
      <c r="I6" s="73">
        <v>1</v>
      </c>
      <c r="J6" s="73" t="s">
        <v>384</v>
      </c>
    </row>
    <row r="7" spans="1:14" ht="18" customHeight="1" x14ac:dyDescent="0.3">
      <c r="A7" s="35" t="s">
        <v>70</v>
      </c>
      <c r="B7" s="37">
        <v>8</v>
      </c>
      <c r="C7" s="37">
        <v>6</v>
      </c>
      <c r="D7" s="37">
        <v>2</v>
      </c>
      <c r="E7" s="37">
        <v>0</v>
      </c>
      <c r="F7" s="70">
        <f t="shared" si="0"/>
        <v>0.25</v>
      </c>
      <c r="G7" s="71">
        <v>30</v>
      </c>
      <c r="H7" s="71">
        <v>33</v>
      </c>
      <c r="I7" s="37">
        <v>2</v>
      </c>
      <c r="J7" s="37" t="s">
        <v>385</v>
      </c>
    </row>
    <row r="8" spans="1:14" ht="18" customHeight="1" x14ac:dyDescent="0.3">
      <c r="A8" s="72" t="s">
        <v>82</v>
      </c>
      <c r="B8" s="73">
        <v>6</v>
      </c>
      <c r="C8" s="73">
        <v>3</v>
      </c>
      <c r="D8" s="73">
        <v>3</v>
      </c>
      <c r="E8" s="73">
        <v>0</v>
      </c>
      <c r="F8" s="74">
        <f t="shared" si="0"/>
        <v>0.5</v>
      </c>
      <c r="G8" s="75">
        <v>28</v>
      </c>
      <c r="H8" s="75">
        <v>30</v>
      </c>
      <c r="I8" s="73">
        <v>1</v>
      </c>
      <c r="J8" s="73" t="s">
        <v>386</v>
      </c>
    </row>
    <row r="9" spans="1:14" ht="18" customHeight="1" x14ac:dyDescent="0.3">
      <c r="A9" s="35" t="s">
        <v>74</v>
      </c>
      <c r="B9" s="37">
        <v>5</v>
      </c>
      <c r="C9" s="37">
        <v>2</v>
      </c>
      <c r="D9" s="37">
        <v>3</v>
      </c>
      <c r="E9" s="37">
        <v>0</v>
      </c>
      <c r="F9" s="70">
        <f t="shared" si="0"/>
        <v>0.6</v>
      </c>
      <c r="G9" s="71">
        <v>20</v>
      </c>
      <c r="H9" s="71">
        <v>27</v>
      </c>
      <c r="I9" s="37">
        <v>0</v>
      </c>
      <c r="J9" s="37" t="s">
        <v>387</v>
      </c>
    </row>
    <row r="10" spans="1:14" ht="18" customHeight="1" x14ac:dyDescent="0.3">
      <c r="A10" s="72" t="s">
        <v>76</v>
      </c>
      <c r="B10" s="73">
        <v>4</v>
      </c>
      <c r="C10" s="73">
        <v>3</v>
      </c>
      <c r="D10" s="73">
        <v>1</v>
      </c>
      <c r="E10" s="73">
        <v>0</v>
      </c>
      <c r="F10" s="74">
        <f t="shared" si="0"/>
        <v>0.25</v>
      </c>
      <c r="G10" s="75">
        <v>18</v>
      </c>
      <c r="H10" s="75">
        <v>28</v>
      </c>
      <c r="I10" s="73">
        <v>1</v>
      </c>
      <c r="J10" s="73" t="s">
        <v>388</v>
      </c>
    </row>
    <row r="11" spans="1:14" ht="18" customHeight="1" x14ac:dyDescent="0.3">
      <c r="A11" s="35" t="s">
        <v>72</v>
      </c>
      <c r="B11" s="37">
        <v>7</v>
      </c>
      <c r="C11" s="37">
        <v>4</v>
      </c>
      <c r="D11" s="37">
        <v>3</v>
      </c>
      <c r="E11" s="37">
        <v>0</v>
      </c>
      <c r="F11" s="70">
        <f t="shared" si="0"/>
        <v>0.42857142857142855</v>
      </c>
      <c r="G11" s="71">
        <v>26</v>
      </c>
      <c r="H11" s="71">
        <v>32</v>
      </c>
      <c r="I11" s="37">
        <v>1</v>
      </c>
      <c r="J11" s="37" t="s">
        <v>389</v>
      </c>
    </row>
    <row r="12" spans="1:14" ht="18" customHeight="1" x14ac:dyDescent="0.3">
      <c r="A12" s="72" t="s">
        <v>78</v>
      </c>
      <c r="B12" s="73">
        <v>4</v>
      </c>
      <c r="C12" s="73">
        <v>1</v>
      </c>
      <c r="D12" s="73">
        <v>3</v>
      </c>
      <c r="E12" s="73">
        <v>0</v>
      </c>
      <c r="F12" s="74">
        <f t="shared" si="0"/>
        <v>0.75</v>
      </c>
      <c r="G12" s="75">
        <v>32</v>
      </c>
      <c r="H12" s="75">
        <v>34</v>
      </c>
      <c r="I12" s="73">
        <v>0</v>
      </c>
      <c r="J12" s="73" t="s">
        <v>390</v>
      </c>
    </row>
    <row r="13" spans="1:14" ht="18" customHeight="1" x14ac:dyDescent="0.3">
      <c r="A13" s="35" t="s">
        <v>80</v>
      </c>
      <c r="B13" s="37">
        <v>4</v>
      </c>
      <c r="C13" s="37">
        <v>2</v>
      </c>
      <c r="D13" s="37">
        <v>2</v>
      </c>
      <c r="E13" s="37">
        <v>0</v>
      </c>
      <c r="F13" s="70">
        <f t="shared" si="0"/>
        <v>0.5</v>
      </c>
      <c r="G13" s="71">
        <v>36</v>
      </c>
      <c r="H13" s="71">
        <v>35</v>
      </c>
      <c r="I13" s="37">
        <v>0</v>
      </c>
      <c r="J13" s="37" t="s">
        <v>391</v>
      </c>
    </row>
    <row r="14" spans="1:14" ht="18" customHeight="1" x14ac:dyDescent="0.3">
      <c r="A14" s="72" t="s">
        <v>392</v>
      </c>
      <c r="B14" s="73">
        <v>3</v>
      </c>
      <c r="C14" s="73">
        <v>1</v>
      </c>
      <c r="D14" s="73">
        <v>2</v>
      </c>
      <c r="E14" s="73">
        <v>0</v>
      </c>
      <c r="F14" s="74">
        <f t="shared" si="0"/>
        <v>0.66666666666666663</v>
      </c>
      <c r="G14" s="75">
        <v>18</v>
      </c>
      <c r="H14" s="75">
        <v>26</v>
      </c>
      <c r="I14" s="73">
        <v>1</v>
      </c>
      <c r="J14" s="73" t="s">
        <v>393</v>
      </c>
    </row>
    <row r="15" spans="1:14" ht="19.5" customHeight="1" x14ac:dyDescent="0.3">
      <c r="A15" s="76" t="s">
        <v>394</v>
      </c>
      <c r="B15" s="77">
        <f>SUM(B5:B14)</f>
        <v>79</v>
      </c>
      <c r="C15" s="77">
        <f>SUM(C5:C14)</f>
        <v>48</v>
      </c>
      <c r="D15" s="77">
        <f>SUM(D5:D14)</f>
        <v>30</v>
      </c>
      <c r="E15" s="77">
        <f>SUM(E5:E14)</f>
        <v>1</v>
      </c>
      <c r="F15" s="78">
        <f>IFERROR(D15/B15,0)</f>
        <v>0.379746835443038</v>
      </c>
      <c r="G15" s="79">
        <f>IFERROR(AVERAGE(G5:G14),0)</f>
        <v>25.4</v>
      </c>
      <c r="H15" s="79">
        <f>IFERROR(AVERAGE(H5:H14),0)</f>
        <v>30.5</v>
      </c>
      <c r="I15" s="77">
        <f>SUM(I5:I14)</f>
        <v>11</v>
      </c>
    </row>
    <row r="16" spans="1:14" ht="9.75" customHeight="1" x14ac:dyDescent="0.3"/>
    <row r="17" spans="1:14" ht="21.75" customHeight="1" x14ac:dyDescent="0.3">
      <c r="A17" s="145" t="s">
        <v>558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</row>
    <row r="18" spans="1:14" ht="19.5" customHeight="1" x14ac:dyDescent="0.3">
      <c r="A18" s="80" t="s">
        <v>350</v>
      </c>
      <c r="B18" s="80" t="s">
        <v>395</v>
      </c>
      <c r="C18" s="80" t="s">
        <v>396</v>
      </c>
      <c r="D18" s="80" t="s">
        <v>43</v>
      </c>
      <c r="E18" s="80" t="s">
        <v>119</v>
      </c>
    </row>
    <row r="19" spans="1:14" ht="18" customHeight="1" x14ac:dyDescent="0.3">
      <c r="A19" s="35" t="s">
        <v>397</v>
      </c>
      <c r="B19" s="70">
        <f>IFERROR(SUM(D5:D14)/SUM(B5:B14),0)</f>
        <v>0.379746835443038</v>
      </c>
      <c r="C19" s="37" t="s">
        <v>398</v>
      </c>
      <c r="D19" s="37" t="str">
        <f>IF(B19&gt;=0.35,"✅ On Target","⚠️ Below Target")</f>
        <v>✅ On Target</v>
      </c>
      <c r="E19" s="35"/>
    </row>
    <row r="20" spans="1:14" ht="18" customHeight="1" x14ac:dyDescent="0.3">
      <c r="A20" s="72" t="s">
        <v>399</v>
      </c>
      <c r="B20" s="74">
        <f>IFERROR((D5+D10)/(B5+B10),0)</f>
        <v>0.25</v>
      </c>
      <c r="C20" s="73" t="s">
        <v>400</v>
      </c>
      <c r="D20" s="73" t="str">
        <f>IF(B20&gt;=0.3,"✅ On Target","⚠️ Below Target")</f>
        <v>⚠️ Below Target</v>
      </c>
      <c r="E20" s="72"/>
    </row>
    <row r="21" spans="1:14" ht="18" customHeight="1" x14ac:dyDescent="0.3">
      <c r="A21" s="35" t="s">
        <v>401</v>
      </c>
      <c r="B21" s="37" t="s">
        <v>400</v>
      </c>
      <c r="C21" s="37" t="s">
        <v>402</v>
      </c>
      <c r="D21" s="37" t="s">
        <v>403</v>
      </c>
      <c r="E21" s="35"/>
    </row>
    <row r="22" spans="1:14" ht="18" customHeight="1" x14ac:dyDescent="0.3">
      <c r="A22" s="72" t="s">
        <v>404</v>
      </c>
      <c r="B22" s="74">
        <f>IFERROR(COUNTIF('Recruitment Pipeline'!D4:D23,"*"),0)</f>
        <v>20</v>
      </c>
      <c r="C22" s="73" t="s">
        <v>402</v>
      </c>
      <c r="D22" s="73" t="s">
        <v>405</v>
      </c>
      <c r="E22" s="72"/>
    </row>
    <row r="23" spans="1:14" ht="18" customHeight="1" x14ac:dyDescent="0.3">
      <c r="A23" s="35" t="s">
        <v>406</v>
      </c>
      <c r="B23" s="37">
        <f>IFERROR(COUNTIF('Attrition Data'!B4:B23,"*"),0)</f>
        <v>18</v>
      </c>
      <c r="C23" s="37" t="s">
        <v>407</v>
      </c>
      <c r="D23" s="37" t="s">
        <v>408</v>
      </c>
      <c r="E23" s="35"/>
    </row>
    <row r="24" spans="1:14" ht="9.75" customHeight="1" x14ac:dyDescent="0.3"/>
    <row r="25" spans="1:14" ht="21.75" customHeight="1" x14ac:dyDescent="0.3">
      <c r="A25" s="145" t="s">
        <v>559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</row>
    <row r="26" spans="1:14" ht="19.5" customHeight="1" x14ac:dyDescent="0.3">
      <c r="A26" s="80" t="s">
        <v>409</v>
      </c>
      <c r="B26" s="80" t="s">
        <v>410</v>
      </c>
      <c r="C26" s="80" t="s">
        <v>411</v>
      </c>
      <c r="D26" s="80" t="s">
        <v>64</v>
      </c>
      <c r="E26" s="80" t="s">
        <v>412</v>
      </c>
      <c r="F26" s="80" t="s">
        <v>413</v>
      </c>
      <c r="G26" s="80" t="s">
        <v>119</v>
      </c>
    </row>
    <row r="27" spans="1:14" ht="18" customHeight="1" x14ac:dyDescent="0.3">
      <c r="A27" s="35" t="s">
        <v>351</v>
      </c>
      <c r="B27" s="37">
        <v>72</v>
      </c>
      <c r="C27" s="37">
        <v>2</v>
      </c>
      <c r="D27" s="37">
        <v>1</v>
      </c>
      <c r="E27" s="37">
        <v>73</v>
      </c>
      <c r="F27" s="37">
        <v>1</v>
      </c>
      <c r="G27" s="37"/>
    </row>
    <row r="28" spans="1:14" ht="18" customHeight="1" x14ac:dyDescent="0.3">
      <c r="A28" s="72" t="s">
        <v>352</v>
      </c>
      <c r="B28" s="73">
        <v>73</v>
      </c>
      <c r="C28" s="73">
        <v>3</v>
      </c>
      <c r="D28" s="73">
        <v>2</v>
      </c>
      <c r="E28" s="73">
        <v>74</v>
      </c>
      <c r="F28" s="73">
        <v>1</v>
      </c>
      <c r="G28" s="73"/>
    </row>
    <row r="29" spans="1:14" ht="18" customHeight="1" x14ac:dyDescent="0.3">
      <c r="A29" s="35" t="s">
        <v>353</v>
      </c>
      <c r="B29" s="37">
        <v>74</v>
      </c>
      <c r="C29" s="37">
        <v>2</v>
      </c>
      <c r="D29" s="37">
        <v>1</v>
      </c>
      <c r="E29" s="37">
        <v>75</v>
      </c>
      <c r="F29" s="37">
        <v>1</v>
      </c>
      <c r="G29" s="37"/>
    </row>
    <row r="30" spans="1:14" ht="18" customHeight="1" x14ac:dyDescent="0.3">
      <c r="A30" s="72" t="s">
        <v>354</v>
      </c>
      <c r="B30" s="73">
        <v>75</v>
      </c>
      <c r="C30" s="73">
        <v>4</v>
      </c>
      <c r="D30" s="73">
        <v>2</v>
      </c>
      <c r="E30" s="73">
        <v>77</v>
      </c>
      <c r="F30" s="73">
        <v>2</v>
      </c>
      <c r="G30" s="73"/>
    </row>
    <row r="31" spans="1:14" ht="18" customHeight="1" x14ac:dyDescent="0.3">
      <c r="A31" s="35" t="s">
        <v>355</v>
      </c>
      <c r="B31" s="37">
        <v>77</v>
      </c>
      <c r="C31" s="37">
        <v>2</v>
      </c>
      <c r="D31" s="37">
        <v>3</v>
      </c>
      <c r="E31" s="37">
        <v>76</v>
      </c>
      <c r="F31" s="81">
        <v>-1</v>
      </c>
      <c r="G31" s="35" t="s">
        <v>414</v>
      </c>
    </row>
    <row r="32" spans="1:14" ht="18" customHeight="1" x14ac:dyDescent="0.3">
      <c r="A32" s="72" t="s">
        <v>356</v>
      </c>
      <c r="B32" s="73">
        <v>76</v>
      </c>
      <c r="C32" s="73">
        <v>3</v>
      </c>
      <c r="D32" s="73">
        <v>2</v>
      </c>
      <c r="E32" s="73">
        <v>77</v>
      </c>
      <c r="F32" s="73">
        <v>1</v>
      </c>
      <c r="G32" s="73"/>
    </row>
    <row r="33" spans="1:7" ht="18" customHeight="1" x14ac:dyDescent="0.3">
      <c r="A33" s="35" t="s">
        <v>357</v>
      </c>
      <c r="B33" s="37">
        <v>77</v>
      </c>
      <c r="C33" s="37">
        <v>4</v>
      </c>
      <c r="D33" s="37">
        <v>2</v>
      </c>
      <c r="E33" s="37">
        <v>79</v>
      </c>
      <c r="F33" s="37">
        <v>2</v>
      </c>
      <c r="G33" s="37"/>
    </row>
    <row r="34" spans="1:7" ht="18" customHeight="1" x14ac:dyDescent="0.3">
      <c r="A34" s="72" t="s">
        <v>358</v>
      </c>
      <c r="B34" s="73">
        <v>79</v>
      </c>
      <c r="C34" s="73">
        <v>3</v>
      </c>
      <c r="D34" s="73">
        <v>2</v>
      </c>
      <c r="E34" s="73">
        <v>80</v>
      </c>
      <c r="F34" s="73">
        <v>1</v>
      </c>
      <c r="G34" s="73"/>
    </row>
    <row r="35" spans="1:7" ht="18" customHeight="1" x14ac:dyDescent="0.3">
      <c r="A35" s="35" t="s">
        <v>359</v>
      </c>
      <c r="B35" s="37">
        <v>80</v>
      </c>
      <c r="C35" s="37">
        <v>2</v>
      </c>
      <c r="D35" s="37">
        <v>1</v>
      </c>
      <c r="E35" s="37">
        <v>81</v>
      </c>
      <c r="F35" s="37">
        <v>1</v>
      </c>
      <c r="G35" s="37"/>
    </row>
    <row r="36" spans="1:7" ht="18" customHeight="1" x14ac:dyDescent="0.3">
      <c r="A36" s="72" t="s">
        <v>360</v>
      </c>
      <c r="B36" s="73">
        <v>81</v>
      </c>
      <c r="C36" s="73">
        <v>5</v>
      </c>
      <c r="D36" s="73">
        <v>1</v>
      </c>
      <c r="E36" s="73">
        <v>85</v>
      </c>
      <c r="F36" s="73">
        <v>4</v>
      </c>
      <c r="G36" s="73" t="s">
        <v>415</v>
      </c>
    </row>
    <row r="37" spans="1:7" ht="18" customHeight="1" x14ac:dyDescent="0.3">
      <c r="A37" s="35" t="s">
        <v>361</v>
      </c>
      <c r="B37" s="37">
        <v>85</v>
      </c>
      <c r="C37" s="37">
        <v>3</v>
      </c>
      <c r="D37" s="37">
        <v>2</v>
      </c>
      <c r="E37" s="37">
        <v>86</v>
      </c>
      <c r="F37" s="37">
        <v>1</v>
      </c>
      <c r="G37" s="37"/>
    </row>
    <row r="38" spans="1:7" ht="18" customHeight="1" x14ac:dyDescent="0.3">
      <c r="A38" s="72" t="s">
        <v>362</v>
      </c>
      <c r="B38" s="73">
        <v>86</v>
      </c>
      <c r="C38" s="73">
        <v>2</v>
      </c>
      <c r="D38" s="73">
        <v>1</v>
      </c>
      <c r="E38" s="73">
        <v>87</v>
      </c>
      <c r="F38" s="73">
        <v>1</v>
      </c>
      <c r="G38" s="73"/>
    </row>
  </sheetData>
  <mergeCells count="5">
    <mergeCell ref="A1:N1"/>
    <mergeCell ref="A2:N2"/>
    <mergeCell ref="A3:N3"/>
    <mergeCell ref="A17:N17"/>
    <mergeCell ref="A25:N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54F0B"/>
  </sheetPr>
  <dimension ref="A1:N29"/>
  <sheetViews>
    <sheetView zoomScaleNormal="100" workbookViewId="0">
      <pane ySplit="4" topLeftCell="A5" activePane="bottomLeft" state="frozen"/>
      <selection pane="bottomLeft" activeCell="K26" sqref="K26"/>
    </sheetView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30" customWidth="1"/>
    <col min="5" max="5" width="18" customWidth="1"/>
    <col min="6" max="7" width="12" customWidth="1"/>
    <col min="8" max="8" width="14" customWidth="1"/>
    <col min="9" max="10" width="12" customWidth="1"/>
    <col min="11" max="11" width="20" customWidth="1"/>
    <col min="12" max="13" width="12" customWidth="1"/>
    <col min="14" max="14" width="22" customWidth="1"/>
  </cols>
  <sheetData>
    <row r="1" spans="1:14" ht="30" customHeight="1" x14ac:dyDescent="0.3">
      <c r="A1" s="146" t="s">
        <v>547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15.75" customHeight="1" x14ac:dyDescent="0.3">
      <c r="A2" s="147" t="s">
        <v>416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</row>
    <row r="3" spans="1:14" ht="21.75" customHeight="1" x14ac:dyDescent="0.3">
      <c r="A3" s="148" t="s">
        <v>560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</row>
    <row r="4" spans="1:14" ht="21.75" customHeight="1" x14ac:dyDescent="0.3">
      <c r="A4" s="82" t="s">
        <v>220</v>
      </c>
      <c r="B4" s="82" t="s">
        <v>221</v>
      </c>
      <c r="C4" s="82" t="s">
        <v>63</v>
      </c>
      <c r="D4" s="82" t="s">
        <v>417</v>
      </c>
      <c r="E4" s="82" t="s">
        <v>418</v>
      </c>
      <c r="F4" s="82" t="s">
        <v>419</v>
      </c>
      <c r="G4" s="82" t="s">
        <v>420</v>
      </c>
      <c r="H4" s="82" t="s">
        <v>421</v>
      </c>
      <c r="I4" s="82" t="s">
        <v>43</v>
      </c>
      <c r="J4" s="82" t="s">
        <v>422</v>
      </c>
      <c r="K4" s="82" t="s">
        <v>423</v>
      </c>
      <c r="L4" s="82" t="s">
        <v>424</v>
      </c>
      <c r="M4" s="82" t="s">
        <v>425</v>
      </c>
      <c r="N4" s="82" t="s">
        <v>119</v>
      </c>
    </row>
    <row r="5" spans="1:14" ht="18" customHeight="1" x14ac:dyDescent="0.3">
      <c r="A5" s="37" t="s">
        <v>226</v>
      </c>
      <c r="B5" s="35" t="s">
        <v>121</v>
      </c>
      <c r="C5" s="35" t="s">
        <v>66</v>
      </c>
      <c r="D5" s="35" t="s">
        <v>426</v>
      </c>
      <c r="E5" s="35" t="s">
        <v>427</v>
      </c>
      <c r="F5" s="37" t="s">
        <v>428</v>
      </c>
      <c r="G5" s="83">
        <v>45667</v>
      </c>
      <c r="H5" s="83">
        <v>45703</v>
      </c>
      <c r="I5" s="45" t="s">
        <v>228</v>
      </c>
      <c r="J5" s="37" t="s">
        <v>429</v>
      </c>
      <c r="K5" s="37" t="s">
        <v>430</v>
      </c>
      <c r="L5" s="83">
        <v>46433</v>
      </c>
      <c r="M5" s="84">
        <v>15000</v>
      </c>
      <c r="N5" s="35" t="s">
        <v>431</v>
      </c>
    </row>
    <row r="6" spans="1:14" ht="18" customHeight="1" x14ac:dyDescent="0.3">
      <c r="A6" s="85" t="s">
        <v>229</v>
      </c>
      <c r="B6" s="86" t="s">
        <v>128</v>
      </c>
      <c r="C6" s="86" t="s">
        <v>68</v>
      </c>
      <c r="D6" s="86" t="s">
        <v>432</v>
      </c>
      <c r="E6" s="86" t="s">
        <v>433</v>
      </c>
      <c r="F6" s="85" t="s">
        <v>428</v>
      </c>
      <c r="G6" s="87">
        <v>45672</v>
      </c>
      <c r="H6" s="87">
        <v>45708</v>
      </c>
      <c r="I6" s="45" t="s">
        <v>228</v>
      </c>
      <c r="J6" s="85" t="s">
        <v>434</v>
      </c>
      <c r="K6" s="85" t="s">
        <v>435</v>
      </c>
      <c r="L6" s="85"/>
      <c r="M6" s="88">
        <v>8000</v>
      </c>
      <c r="N6" s="86" t="s">
        <v>436</v>
      </c>
    </row>
    <row r="7" spans="1:14" ht="18" customHeight="1" x14ac:dyDescent="0.3">
      <c r="A7" s="37" t="s">
        <v>232</v>
      </c>
      <c r="B7" s="35" t="s">
        <v>145</v>
      </c>
      <c r="C7" s="35" t="s">
        <v>147</v>
      </c>
      <c r="D7" s="35" t="s">
        <v>437</v>
      </c>
      <c r="E7" s="35" t="s">
        <v>438</v>
      </c>
      <c r="F7" s="37" t="s">
        <v>428</v>
      </c>
      <c r="G7" s="83">
        <v>45689</v>
      </c>
      <c r="H7" s="83">
        <v>45726</v>
      </c>
      <c r="I7" s="45" t="s">
        <v>228</v>
      </c>
      <c r="J7" s="37" t="s">
        <v>439</v>
      </c>
      <c r="K7" s="37" t="s">
        <v>440</v>
      </c>
      <c r="L7" s="83">
        <v>46822</v>
      </c>
      <c r="M7" s="84">
        <v>12000</v>
      </c>
      <c r="N7" s="35"/>
    </row>
    <row r="8" spans="1:14" ht="18" customHeight="1" x14ac:dyDescent="0.3">
      <c r="A8" s="85" t="s">
        <v>233</v>
      </c>
      <c r="B8" s="86" t="s">
        <v>177</v>
      </c>
      <c r="C8" s="86" t="s">
        <v>66</v>
      </c>
      <c r="D8" s="86" t="s">
        <v>441</v>
      </c>
      <c r="E8" s="86" t="s">
        <v>442</v>
      </c>
      <c r="F8" s="85" t="s">
        <v>428</v>
      </c>
      <c r="G8" s="87">
        <v>45693</v>
      </c>
      <c r="H8" s="85"/>
      <c r="I8" s="44" t="s">
        <v>34</v>
      </c>
      <c r="J8" s="85" t="s">
        <v>561</v>
      </c>
      <c r="K8" s="85" t="s">
        <v>435</v>
      </c>
      <c r="L8" s="85"/>
      <c r="M8" s="88">
        <v>5000</v>
      </c>
      <c r="N8" s="86" t="s">
        <v>443</v>
      </c>
    </row>
    <row r="9" spans="1:14" ht="18" customHeight="1" x14ac:dyDescent="0.3">
      <c r="A9" s="37" t="s">
        <v>234</v>
      </c>
      <c r="B9" s="35" t="s">
        <v>193</v>
      </c>
      <c r="C9" s="35" t="s">
        <v>70</v>
      </c>
      <c r="D9" s="35" t="s">
        <v>444</v>
      </c>
      <c r="E9" s="35" t="s">
        <v>445</v>
      </c>
      <c r="F9" s="37" t="s">
        <v>446</v>
      </c>
      <c r="G9" s="83">
        <v>45717</v>
      </c>
      <c r="H9" s="83">
        <v>45736</v>
      </c>
      <c r="I9" s="45" t="s">
        <v>228</v>
      </c>
      <c r="J9" s="37" t="s">
        <v>439</v>
      </c>
      <c r="K9" s="37" t="s">
        <v>447</v>
      </c>
      <c r="L9" s="83">
        <v>46101</v>
      </c>
      <c r="M9" s="84">
        <v>25000</v>
      </c>
      <c r="N9" s="35" t="s">
        <v>448</v>
      </c>
    </row>
    <row r="10" spans="1:14" ht="18" customHeight="1" x14ac:dyDescent="0.3">
      <c r="A10" s="85" t="s">
        <v>235</v>
      </c>
      <c r="B10" s="86" t="s">
        <v>181</v>
      </c>
      <c r="C10" s="86" t="s">
        <v>82</v>
      </c>
      <c r="D10" s="86" t="s">
        <v>449</v>
      </c>
      <c r="E10" s="86" t="s">
        <v>450</v>
      </c>
      <c r="F10" s="85" t="s">
        <v>446</v>
      </c>
      <c r="G10" s="87">
        <v>45631</v>
      </c>
      <c r="H10" s="87">
        <v>45633</v>
      </c>
      <c r="I10" s="45" t="s">
        <v>228</v>
      </c>
      <c r="J10" s="85" t="s">
        <v>439</v>
      </c>
      <c r="K10" s="85" t="s">
        <v>451</v>
      </c>
      <c r="L10" s="87">
        <v>46363</v>
      </c>
      <c r="M10" s="88">
        <v>18000</v>
      </c>
      <c r="N10" s="86" t="s">
        <v>452</v>
      </c>
    </row>
    <row r="11" spans="1:14" ht="18" customHeight="1" x14ac:dyDescent="0.3">
      <c r="A11" s="37" t="s">
        <v>236</v>
      </c>
      <c r="B11" s="35" t="s">
        <v>189</v>
      </c>
      <c r="C11" s="35" t="s">
        <v>68</v>
      </c>
      <c r="D11" s="35" t="s">
        <v>453</v>
      </c>
      <c r="E11" s="35" t="s">
        <v>454</v>
      </c>
      <c r="F11" s="37" t="s">
        <v>428</v>
      </c>
      <c r="G11" s="83">
        <v>45677</v>
      </c>
      <c r="H11" s="83">
        <v>45716</v>
      </c>
      <c r="I11" s="45" t="s">
        <v>228</v>
      </c>
      <c r="J11" s="37" t="s">
        <v>439</v>
      </c>
      <c r="K11" s="37" t="s">
        <v>455</v>
      </c>
      <c r="L11" s="83">
        <v>46446</v>
      </c>
      <c r="M11" s="84">
        <v>10000</v>
      </c>
      <c r="N11" s="35"/>
    </row>
    <row r="12" spans="1:14" ht="18" customHeight="1" x14ac:dyDescent="0.3">
      <c r="A12" s="85" t="s">
        <v>237</v>
      </c>
      <c r="B12" s="86" t="s">
        <v>238</v>
      </c>
      <c r="C12" s="86" t="s">
        <v>74</v>
      </c>
      <c r="D12" s="86" t="s">
        <v>456</v>
      </c>
      <c r="E12" s="86" t="s">
        <v>74</v>
      </c>
      <c r="F12" s="85" t="s">
        <v>428</v>
      </c>
      <c r="G12" s="87">
        <v>45698</v>
      </c>
      <c r="H12" s="85"/>
      <c r="I12" s="44" t="s">
        <v>34</v>
      </c>
      <c r="J12" s="85" t="s">
        <v>561</v>
      </c>
      <c r="K12" s="85" t="s">
        <v>435</v>
      </c>
      <c r="L12" s="85"/>
      <c r="M12" s="88">
        <v>4000</v>
      </c>
      <c r="N12" s="86"/>
    </row>
    <row r="13" spans="1:14" ht="18" customHeight="1" x14ac:dyDescent="0.3">
      <c r="A13" s="37" t="s">
        <v>239</v>
      </c>
      <c r="B13" s="35" t="s">
        <v>210</v>
      </c>
      <c r="C13" s="35" t="s">
        <v>68</v>
      </c>
      <c r="D13" s="35" t="s">
        <v>457</v>
      </c>
      <c r="E13" s="35" t="s">
        <v>433</v>
      </c>
      <c r="F13" s="37" t="s">
        <v>428</v>
      </c>
      <c r="G13" s="83">
        <v>45662</v>
      </c>
      <c r="H13" s="83">
        <v>45698</v>
      </c>
      <c r="I13" s="45" t="s">
        <v>228</v>
      </c>
      <c r="J13" s="37" t="s">
        <v>458</v>
      </c>
      <c r="K13" s="37" t="s">
        <v>435</v>
      </c>
      <c r="L13" s="37"/>
      <c r="M13" s="84">
        <v>9000</v>
      </c>
      <c r="N13" s="35"/>
    </row>
    <row r="14" spans="1:14" ht="18" customHeight="1" x14ac:dyDescent="0.3">
      <c r="A14" s="85" t="s">
        <v>240</v>
      </c>
      <c r="B14" s="86" t="s">
        <v>214</v>
      </c>
      <c r="C14" s="86" t="s">
        <v>74</v>
      </c>
      <c r="D14" s="86" t="s">
        <v>459</v>
      </c>
      <c r="E14" s="86" t="s">
        <v>74</v>
      </c>
      <c r="F14" s="85" t="s">
        <v>428</v>
      </c>
      <c r="G14" s="87">
        <v>45597</v>
      </c>
      <c r="H14" s="87">
        <v>45641</v>
      </c>
      <c r="I14" s="45" t="s">
        <v>228</v>
      </c>
      <c r="J14" s="85" t="s">
        <v>439</v>
      </c>
      <c r="K14" s="85" t="s">
        <v>460</v>
      </c>
      <c r="L14" s="87">
        <v>46006</v>
      </c>
      <c r="M14" s="88">
        <v>7000</v>
      </c>
      <c r="N14" s="86"/>
    </row>
    <row r="15" spans="1:14" ht="18" customHeight="1" x14ac:dyDescent="0.3">
      <c r="A15" s="37" t="s">
        <v>241</v>
      </c>
      <c r="B15" s="35" t="s">
        <v>185</v>
      </c>
      <c r="C15" s="35" t="s">
        <v>76</v>
      </c>
      <c r="D15" s="35" t="s">
        <v>461</v>
      </c>
      <c r="E15" s="35" t="s">
        <v>76</v>
      </c>
      <c r="F15" s="37" t="s">
        <v>428</v>
      </c>
      <c r="G15" s="83">
        <v>45658</v>
      </c>
      <c r="H15" s="83">
        <v>45747</v>
      </c>
      <c r="I15" s="45" t="s">
        <v>228</v>
      </c>
      <c r="J15" s="37" t="s">
        <v>462</v>
      </c>
      <c r="K15" s="37" t="s">
        <v>463</v>
      </c>
      <c r="L15" s="83">
        <v>46477</v>
      </c>
      <c r="M15" s="84">
        <v>6000</v>
      </c>
      <c r="N15" s="35" t="s">
        <v>464</v>
      </c>
    </row>
    <row r="16" spans="1:14" ht="18" customHeight="1" x14ac:dyDescent="0.3">
      <c r="A16" s="85" t="s">
        <v>242</v>
      </c>
      <c r="B16" s="86" t="s">
        <v>172</v>
      </c>
      <c r="C16" s="86" t="s">
        <v>80</v>
      </c>
      <c r="D16" s="86" t="s">
        <v>465</v>
      </c>
      <c r="E16" s="86" t="s">
        <v>80</v>
      </c>
      <c r="F16" s="85" t="s">
        <v>428</v>
      </c>
      <c r="G16" s="87">
        <v>45689</v>
      </c>
      <c r="H16" s="85"/>
      <c r="I16" s="44" t="s">
        <v>34</v>
      </c>
      <c r="J16" s="85" t="s">
        <v>561</v>
      </c>
      <c r="K16" s="85" t="s">
        <v>435</v>
      </c>
      <c r="L16" s="85"/>
      <c r="M16" s="88">
        <v>8000</v>
      </c>
      <c r="N16" s="86"/>
    </row>
    <row r="17" spans="1:14" ht="18" customHeight="1" x14ac:dyDescent="0.3">
      <c r="A17" s="37" t="s">
        <v>243</v>
      </c>
      <c r="B17" s="35" t="s">
        <v>201</v>
      </c>
      <c r="C17" s="35" t="s">
        <v>66</v>
      </c>
      <c r="D17" s="35" t="s">
        <v>466</v>
      </c>
      <c r="E17" s="35" t="s">
        <v>467</v>
      </c>
      <c r="F17" s="37" t="s">
        <v>428</v>
      </c>
      <c r="G17" s="83">
        <v>45672</v>
      </c>
      <c r="H17" s="83">
        <v>45708</v>
      </c>
      <c r="I17" s="45" t="s">
        <v>228</v>
      </c>
      <c r="J17" s="37" t="s">
        <v>439</v>
      </c>
      <c r="K17" s="37" t="s">
        <v>468</v>
      </c>
      <c r="L17" s="83">
        <v>46438</v>
      </c>
      <c r="M17" s="84">
        <v>12000</v>
      </c>
      <c r="N17" s="35"/>
    </row>
    <row r="18" spans="1:14" ht="18" customHeight="1" x14ac:dyDescent="0.3">
      <c r="A18" s="85" t="s">
        <v>245</v>
      </c>
      <c r="B18" s="86" t="s">
        <v>206</v>
      </c>
      <c r="C18" s="86" t="s">
        <v>72</v>
      </c>
      <c r="D18" s="86" t="s">
        <v>469</v>
      </c>
      <c r="E18" s="86" t="s">
        <v>470</v>
      </c>
      <c r="F18" s="85" t="s">
        <v>428</v>
      </c>
      <c r="G18" s="87">
        <v>45689</v>
      </c>
      <c r="H18" s="87">
        <v>45731</v>
      </c>
      <c r="I18" s="45" t="s">
        <v>228</v>
      </c>
      <c r="J18" s="85" t="s">
        <v>439</v>
      </c>
      <c r="K18" s="85" t="s">
        <v>471</v>
      </c>
      <c r="L18" s="87">
        <v>46096</v>
      </c>
      <c r="M18" s="88">
        <v>10000</v>
      </c>
      <c r="N18" s="86"/>
    </row>
    <row r="19" spans="1:14" ht="18" customHeight="1" x14ac:dyDescent="0.3">
      <c r="A19" s="37" t="s">
        <v>246</v>
      </c>
      <c r="B19" s="35" t="s">
        <v>197</v>
      </c>
      <c r="C19" s="35" t="s">
        <v>66</v>
      </c>
      <c r="D19" s="35" t="s">
        <v>472</v>
      </c>
      <c r="E19" s="35" t="s">
        <v>473</v>
      </c>
      <c r="F19" s="37" t="s">
        <v>428</v>
      </c>
      <c r="G19" s="83">
        <v>45748</v>
      </c>
      <c r="H19" s="37"/>
      <c r="I19" s="38" t="s">
        <v>35</v>
      </c>
      <c r="J19" s="37" t="s">
        <v>561</v>
      </c>
      <c r="K19" s="37" t="s">
        <v>435</v>
      </c>
      <c r="L19" s="37"/>
      <c r="M19" s="84">
        <v>5000</v>
      </c>
      <c r="N19" s="35" t="s">
        <v>474</v>
      </c>
    </row>
    <row r="20" spans="1:14" ht="18" customHeight="1" x14ac:dyDescent="0.3">
      <c r="A20" s="85" t="s">
        <v>226</v>
      </c>
      <c r="B20" s="86" t="s">
        <v>121</v>
      </c>
      <c r="C20" s="86" t="s">
        <v>66</v>
      </c>
      <c r="D20" s="86" t="s">
        <v>475</v>
      </c>
      <c r="E20" s="86" t="s">
        <v>476</v>
      </c>
      <c r="F20" s="85" t="s">
        <v>446</v>
      </c>
      <c r="G20" s="87">
        <v>45726</v>
      </c>
      <c r="H20" s="87">
        <v>45728</v>
      </c>
      <c r="I20" s="45" t="s">
        <v>228</v>
      </c>
      <c r="J20" s="85" t="s">
        <v>439</v>
      </c>
      <c r="K20" s="85" t="s">
        <v>435</v>
      </c>
      <c r="L20" s="85"/>
      <c r="M20" s="88">
        <v>8000</v>
      </c>
      <c r="N20" s="86" t="s">
        <v>477</v>
      </c>
    </row>
    <row r="21" spans="1:14" ht="7.5" customHeight="1" x14ac:dyDescent="0.3"/>
    <row r="22" spans="1:14" ht="21.75" customHeight="1" x14ac:dyDescent="0.3">
      <c r="A22" s="148" t="s">
        <v>562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</row>
    <row r="23" spans="1:14" ht="19.5" customHeight="1" x14ac:dyDescent="0.3">
      <c r="A23" s="89" t="s">
        <v>350</v>
      </c>
      <c r="B23" s="89" t="s">
        <v>395</v>
      </c>
      <c r="C23" s="89" t="s">
        <v>396</v>
      </c>
      <c r="D23" s="89" t="s">
        <v>43</v>
      </c>
      <c r="E23" s="89" t="s">
        <v>119</v>
      </c>
    </row>
    <row r="24" spans="1:14" ht="18" customHeight="1" x14ac:dyDescent="0.3">
      <c r="A24" s="86" t="s">
        <v>478</v>
      </c>
      <c r="B24" s="85">
        <f>COUNTA(A5:A20)</f>
        <v>16</v>
      </c>
      <c r="C24" s="85" t="s">
        <v>561</v>
      </c>
      <c r="D24" s="85" t="s">
        <v>561</v>
      </c>
      <c r="E24" s="86"/>
    </row>
    <row r="25" spans="1:14" ht="18" customHeight="1" x14ac:dyDescent="0.3">
      <c r="A25" s="35" t="s">
        <v>479</v>
      </c>
      <c r="B25" s="37">
        <f>SUMPRODUCT(1/COUNTIF(A5:A20,A5:A20))</f>
        <v>15</v>
      </c>
      <c r="C25" s="37" t="s">
        <v>480</v>
      </c>
      <c r="D25" s="37" t="s">
        <v>561</v>
      </c>
      <c r="E25" s="35"/>
    </row>
    <row r="26" spans="1:14" ht="18" customHeight="1" x14ac:dyDescent="0.3">
      <c r="A26" s="86" t="s">
        <v>36</v>
      </c>
      <c r="B26" s="90">
        <f>COUNTIF(I5:I20,"Complete")/COUNTA(I5:I20)</f>
        <v>0.75</v>
      </c>
      <c r="C26" s="85" t="s">
        <v>481</v>
      </c>
      <c r="D26" s="85" t="str">
        <f>IF(C26&gt;=0.85,"✅ On Target","⚠️ Below")</f>
        <v>✅ On Target</v>
      </c>
      <c r="E26" s="86"/>
    </row>
    <row r="27" spans="1:14" ht="18" customHeight="1" x14ac:dyDescent="0.3">
      <c r="A27" s="35" t="s">
        <v>482</v>
      </c>
      <c r="B27" s="37">
        <f>COUNTA(K5:K20)-COUNTIF(K5:K20,"None")</f>
        <v>9</v>
      </c>
      <c r="C27" s="37" t="s">
        <v>561</v>
      </c>
      <c r="D27" s="37" t="s">
        <v>561</v>
      </c>
      <c r="E27" s="35"/>
    </row>
    <row r="28" spans="1:14" ht="18" customHeight="1" x14ac:dyDescent="0.3">
      <c r="A28" s="86" t="s">
        <v>483</v>
      </c>
      <c r="B28" s="88">
        <f>SUM(M5:M20)</f>
        <v>162000</v>
      </c>
      <c r="C28" s="85" t="s">
        <v>561</v>
      </c>
      <c r="D28" s="85" t="s">
        <v>561</v>
      </c>
      <c r="E28" s="86"/>
    </row>
    <row r="29" spans="1:14" ht="18" customHeight="1" x14ac:dyDescent="0.3">
      <c r="A29" s="35" t="s">
        <v>484</v>
      </c>
      <c r="B29" s="84">
        <f>IFERROR(SUM(M5:M20)/COUNTA(A5:A20),0)</f>
        <v>10125</v>
      </c>
      <c r="C29" s="37" t="s">
        <v>561</v>
      </c>
      <c r="D29" s="37" t="s">
        <v>561</v>
      </c>
      <c r="E29" s="35"/>
    </row>
  </sheetData>
  <mergeCells count="4">
    <mergeCell ref="A1:N1"/>
    <mergeCell ref="A2:N2"/>
    <mergeCell ref="A3:N3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537E"/>
  </sheetPr>
  <dimension ref="A1:O26"/>
  <sheetViews>
    <sheetView zoomScaleNormal="100" workbookViewId="0">
      <pane ySplit="4" topLeftCell="A5" activePane="bottomLeft" state="frozen"/>
      <selection pane="bottomLeft" activeCell="J30" sqref="J30"/>
    </sheetView>
  </sheetViews>
  <sheetFormatPr defaultColWidth="8.6640625" defaultRowHeight="14.4" x14ac:dyDescent="0.3"/>
  <cols>
    <col min="1" max="1" width="16.109375" customWidth="1"/>
    <col min="2" max="2" width="20" customWidth="1"/>
    <col min="3" max="3" width="18" customWidth="1"/>
    <col min="4" max="4" width="12" customWidth="1"/>
    <col min="5" max="5" width="10" customWidth="1"/>
    <col min="6" max="7" width="12" customWidth="1"/>
    <col min="8" max="8" width="8" customWidth="1"/>
    <col min="9" max="9" width="10" customWidth="1"/>
    <col min="10" max="10" width="12" customWidth="1"/>
    <col min="11" max="11" width="8" customWidth="1"/>
    <col min="12" max="12" width="10" customWidth="1"/>
    <col min="13" max="14" width="13" customWidth="1"/>
    <col min="15" max="15" width="24" customWidth="1"/>
  </cols>
  <sheetData>
    <row r="1" spans="1:15" ht="30" customHeight="1" x14ac:dyDescent="0.3">
      <c r="A1" s="149" t="s">
        <v>548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5" ht="15.75" customHeight="1" x14ac:dyDescent="0.3">
      <c r="A2" s="150" t="s">
        <v>485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</row>
    <row r="3" spans="1:15" ht="21.75" customHeight="1" x14ac:dyDescent="0.3">
      <c r="A3" s="151" t="s">
        <v>563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</row>
    <row r="4" spans="1:15" ht="21.75" customHeight="1" x14ac:dyDescent="0.3">
      <c r="A4" s="91" t="s">
        <v>220</v>
      </c>
      <c r="B4" s="91" t="s">
        <v>221</v>
      </c>
      <c r="C4" s="91" t="s">
        <v>63</v>
      </c>
      <c r="D4" s="91" t="s">
        <v>486</v>
      </c>
      <c r="E4" s="91" t="s">
        <v>487</v>
      </c>
      <c r="F4" s="91" t="s">
        <v>488</v>
      </c>
      <c r="G4" s="91" t="s">
        <v>489</v>
      </c>
      <c r="H4" s="91" t="s">
        <v>490</v>
      </c>
      <c r="I4" s="91" t="s">
        <v>491</v>
      </c>
      <c r="J4" s="91" t="s">
        <v>492</v>
      </c>
      <c r="K4" s="91" t="s">
        <v>493</v>
      </c>
      <c r="L4" s="91" t="s">
        <v>494</v>
      </c>
      <c r="M4" s="91" t="s">
        <v>495</v>
      </c>
      <c r="N4" s="91" t="s">
        <v>496</v>
      </c>
      <c r="O4" s="91" t="s">
        <v>119</v>
      </c>
    </row>
    <row r="5" spans="1:15" ht="18" customHeight="1" x14ac:dyDescent="0.3">
      <c r="A5" s="35" t="s">
        <v>226</v>
      </c>
      <c r="B5" s="35" t="s">
        <v>121</v>
      </c>
      <c r="C5" s="35" t="s">
        <v>66</v>
      </c>
      <c r="D5" s="37">
        <v>18</v>
      </c>
      <c r="E5" s="37">
        <v>8</v>
      </c>
      <c r="F5" s="92">
        <f t="shared" ref="F5:F19" si="0">D5-E5</f>
        <v>10</v>
      </c>
      <c r="G5" s="37">
        <v>12</v>
      </c>
      <c r="H5" s="37">
        <v>2</v>
      </c>
      <c r="I5" s="92">
        <f t="shared" ref="I5:I19" si="1">G5-H5</f>
        <v>10</v>
      </c>
      <c r="J5" s="37">
        <v>6</v>
      </c>
      <c r="K5" s="37">
        <v>1</v>
      </c>
      <c r="L5" s="92">
        <f t="shared" ref="L5:L19" si="2">J5-K5</f>
        <v>5</v>
      </c>
      <c r="M5" s="58">
        <f t="shared" ref="M5:M19" si="3">E5+H5+K5</f>
        <v>11</v>
      </c>
      <c r="N5" s="93">
        <f t="shared" ref="N5:N19" si="4">(E5+H5+K5)/250</f>
        <v>4.3999999999999997E-2</v>
      </c>
      <c r="O5" s="35"/>
    </row>
    <row r="6" spans="1:15" ht="18" customHeight="1" x14ac:dyDescent="0.3">
      <c r="A6" s="94" t="s">
        <v>229</v>
      </c>
      <c r="B6" s="94" t="s">
        <v>128</v>
      </c>
      <c r="C6" s="94" t="s">
        <v>68</v>
      </c>
      <c r="D6" s="95">
        <v>18</v>
      </c>
      <c r="E6" s="95">
        <v>12</v>
      </c>
      <c r="F6" s="96">
        <f t="shared" si="0"/>
        <v>6</v>
      </c>
      <c r="G6" s="95">
        <v>12</v>
      </c>
      <c r="H6" s="95">
        <v>5</v>
      </c>
      <c r="I6" s="96">
        <f t="shared" si="1"/>
        <v>7</v>
      </c>
      <c r="J6" s="95">
        <v>6</v>
      </c>
      <c r="K6" s="95">
        <v>2</v>
      </c>
      <c r="L6" s="96">
        <f t="shared" si="2"/>
        <v>4</v>
      </c>
      <c r="M6" s="97">
        <f t="shared" si="3"/>
        <v>19</v>
      </c>
      <c r="N6" s="98">
        <f t="shared" si="4"/>
        <v>7.5999999999999998E-2</v>
      </c>
      <c r="O6" s="94"/>
    </row>
    <row r="7" spans="1:15" ht="18" customHeight="1" x14ac:dyDescent="0.3">
      <c r="A7" s="35" t="s">
        <v>232</v>
      </c>
      <c r="B7" s="35" t="s">
        <v>145</v>
      </c>
      <c r="C7" s="35" t="s">
        <v>147</v>
      </c>
      <c r="D7" s="37">
        <v>18</v>
      </c>
      <c r="E7" s="37">
        <v>5</v>
      </c>
      <c r="F7" s="92">
        <f t="shared" si="0"/>
        <v>13</v>
      </c>
      <c r="G7" s="37">
        <v>12</v>
      </c>
      <c r="H7" s="37">
        <v>1</v>
      </c>
      <c r="I7" s="92">
        <f t="shared" si="1"/>
        <v>11</v>
      </c>
      <c r="J7" s="37">
        <v>6</v>
      </c>
      <c r="K7" s="37">
        <v>0</v>
      </c>
      <c r="L7" s="92">
        <f t="shared" si="2"/>
        <v>6</v>
      </c>
      <c r="M7" s="58">
        <f t="shared" si="3"/>
        <v>6</v>
      </c>
      <c r="N7" s="93">
        <f t="shared" si="4"/>
        <v>2.4E-2</v>
      </c>
      <c r="O7" s="35"/>
    </row>
    <row r="8" spans="1:15" ht="18" customHeight="1" x14ac:dyDescent="0.3">
      <c r="A8" s="94" t="s">
        <v>233</v>
      </c>
      <c r="B8" s="94" t="s">
        <v>177</v>
      </c>
      <c r="C8" s="94" t="s">
        <v>66</v>
      </c>
      <c r="D8" s="95">
        <v>18</v>
      </c>
      <c r="E8" s="95">
        <v>3</v>
      </c>
      <c r="F8" s="96">
        <f t="shared" si="0"/>
        <v>15</v>
      </c>
      <c r="G8" s="95">
        <v>12</v>
      </c>
      <c r="H8" s="95">
        <v>0</v>
      </c>
      <c r="I8" s="96">
        <f t="shared" si="1"/>
        <v>12</v>
      </c>
      <c r="J8" s="95">
        <v>6</v>
      </c>
      <c r="K8" s="95">
        <v>1</v>
      </c>
      <c r="L8" s="96">
        <f t="shared" si="2"/>
        <v>5</v>
      </c>
      <c r="M8" s="97">
        <f t="shared" si="3"/>
        <v>4</v>
      </c>
      <c r="N8" s="98">
        <f t="shared" si="4"/>
        <v>1.6E-2</v>
      </c>
      <c r="O8" s="94"/>
    </row>
    <row r="9" spans="1:15" ht="18" customHeight="1" x14ac:dyDescent="0.3">
      <c r="A9" s="35" t="s">
        <v>234</v>
      </c>
      <c r="B9" s="35" t="s">
        <v>193</v>
      </c>
      <c r="C9" s="35" t="s">
        <v>70</v>
      </c>
      <c r="D9" s="37">
        <v>18</v>
      </c>
      <c r="E9" s="37">
        <v>10</v>
      </c>
      <c r="F9" s="92">
        <f t="shared" si="0"/>
        <v>8</v>
      </c>
      <c r="G9" s="37">
        <v>12</v>
      </c>
      <c r="H9" s="37">
        <v>3</v>
      </c>
      <c r="I9" s="92">
        <f t="shared" si="1"/>
        <v>9</v>
      </c>
      <c r="J9" s="37">
        <v>6</v>
      </c>
      <c r="K9" s="37">
        <v>2</v>
      </c>
      <c r="L9" s="92">
        <f t="shared" si="2"/>
        <v>4</v>
      </c>
      <c r="M9" s="58">
        <f t="shared" si="3"/>
        <v>15</v>
      </c>
      <c r="N9" s="93">
        <f t="shared" si="4"/>
        <v>0.06</v>
      </c>
      <c r="O9" s="35"/>
    </row>
    <row r="10" spans="1:15" ht="18" customHeight="1" x14ac:dyDescent="0.3">
      <c r="A10" s="94" t="s">
        <v>235</v>
      </c>
      <c r="B10" s="94" t="s">
        <v>181</v>
      </c>
      <c r="C10" s="94" t="s">
        <v>82</v>
      </c>
      <c r="D10" s="95">
        <v>18</v>
      </c>
      <c r="E10" s="95">
        <v>15</v>
      </c>
      <c r="F10" s="96">
        <f t="shared" si="0"/>
        <v>3</v>
      </c>
      <c r="G10" s="95">
        <v>12</v>
      </c>
      <c r="H10" s="95">
        <v>4</v>
      </c>
      <c r="I10" s="96">
        <f t="shared" si="1"/>
        <v>8</v>
      </c>
      <c r="J10" s="95">
        <v>6</v>
      </c>
      <c r="K10" s="95">
        <v>3</v>
      </c>
      <c r="L10" s="96">
        <f t="shared" si="2"/>
        <v>3</v>
      </c>
      <c r="M10" s="97">
        <f t="shared" si="3"/>
        <v>22</v>
      </c>
      <c r="N10" s="98">
        <f t="shared" si="4"/>
        <v>8.7999999999999995E-2</v>
      </c>
      <c r="O10" s="94" t="s">
        <v>564</v>
      </c>
    </row>
    <row r="11" spans="1:15" ht="18" customHeight="1" x14ac:dyDescent="0.3">
      <c r="A11" s="35" t="s">
        <v>236</v>
      </c>
      <c r="B11" s="35" t="s">
        <v>189</v>
      </c>
      <c r="C11" s="35" t="s">
        <v>68</v>
      </c>
      <c r="D11" s="37">
        <v>18</v>
      </c>
      <c r="E11" s="37">
        <v>7</v>
      </c>
      <c r="F11" s="92">
        <f t="shared" si="0"/>
        <v>11</v>
      </c>
      <c r="G11" s="37">
        <v>12</v>
      </c>
      <c r="H11" s="37">
        <v>2</v>
      </c>
      <c r="I11" s="92">
        <f t="shared" si="1"/>
        <v>10</v>
      </c>
      <c r="J11" s="37">
        <v>6</v>
      </c>
      <c r="K11" s="37">
        <v>1</v>
      </c>
      <c r="L11" s="92">
        <f t="shared" si="2"/>
        <v>5</v>
      </c>
      <c r="M11" s="58">
        <f t="shared" si="3"/>
        <v>10</v>
      </c>
      <c r="N11" s="93">
        <f t="shared" si="4"/>
        <v>0.04</v>
      </c>
      <c r="O11" s="35"/>
    </row>
    <row r="12" spans="1:15" ht="18" customHeight="1" x14ac:dyDescent="0.3">
      <c r="A12" s="94" t="s">
        <v>237</v>
      </c>
      <c r="B12" s="94" t="s">
        <v>238</v>
      </c>
      <c r="C12" s="94" t="s">
        <v>74</v>
      </c>
      <c r="D12" s="95">
        <v>18</v>
      </c>
      <c r="E12" s="95">
        <v>9</v>
      </c>
      <c r="F12" s="96">
        <f t="shared" si="0"/>
        <v>9</v>
      </c>
      <c r="G12" s="95">
        <v>12</v>
      </c>
      <c r="H12" s="95">
        <v>6</v>
      </c>
      <c r="I12" s="96">
        <f t="shared" si="1"/>
        <v>6</v>
      </c>
      <c r="J12" s="95">
        <v>6</v>
      </c>
      <c r="K12" s="95">
        <v>2</v>
      </c>
      <c r="L12" s="96">
        <f t="shared" si="2"/>
        <v>4</v>
      </c>
      <c r="M12" s="97">
        <f t="shared" si="3"/>
        <v>17</v>
      </c>
      <c r="N12" s="98">
        <f t="shared" si="4"/>
        <v>6.8000000000000005E-2</v>
      </c>
      <c r="O12" s="94"/>
    </row>
    <row r="13" spans="1:15" ht="18" customHeight="1" x14ac:dyDescent="0.3">
      <c r="A13" s="35" t="s">
        <v>239</v>
      </c>
      <c r="B13" s="35" t="s">
        <v>210</v>
      </c>
      <c r="C13" s="35" t="s">
        <v>68</v>
      </c>
      <c r="D13" s="37">
        <v>18</v>
      </c>
      <c r="E13" s="37">
        <v>4</v>
      </c>
      <c r="F13" s="92">
        <f t="shared" si="0"/>
        <v>14</v>
      </c>
      <c r="G13" s="37">
        <v>12</v>
      </c>
      <c r="H13" s="37">
        <v>1</v>
      </c>
      <c r="I13" s="92">
        <f t="shared" si="1"/>
        <v>11</v>
      </c>
      <c r="J13" s="37">
        <v>6</v>
      </c>
      <c r="K13" s="37">
        <v>0</v>
      </c>
      <c r="L13" s="92">
        <f t="shared" si="2"/>
        <v>6</v>
      </c>
      <c r="M13" s="58">
        <f t="shared" si="3"/>
        <v>5</v>
      </c>
      <c r="N13" s="93">
        <f t="shared" si="4"/>
        <v>0.02</v>
      </c>
      <c r="O13" s="35"/>
    </row>
    <row r="14" spans="1:15" ht="18" customHeight="1" x14ac:dyDescent="0.3">
      <c r="A14" s="94" t="s">
        <v>240</v>
      </c>
      <c r="B14" s="94" t="s">
        <v>214</v>
      </c>
      <c r="C14" s="94" t="s">
        <v>74</v>
      </c>
      <c r="D14" s="95">
        <v>18</v>
      </c>
      <c r="E14" s="95">
        <v>11</v>
      </c>
      <c r="F14" s="96">
        <f t="shared" si="0"/>
        <v>7</v>
      </c>
      <c r="G14" s="95">
        <v>12</v>
      </c>
      <c r="H14" s="95">
        <v>3</v>
      </c>
      <c r="I14" s="96">
        <f t="shared" si="1"/>
        <v>9</v>
      </c>
      <c r="J14" s="95">
        <v>6</v>
      </c>
      <c r="K14" s="95">
        <v>1</v>
      </c>
      <c r="L14" s="96">
        <f t="shared" si="2"/>
        <v>5</v>
      </c>
      <c r="M14" s="97">
        <f t="shared" si="3"/>
        <v>15</v>
      </c>
      <c r="N14" s="98">
        <f t="shared" si="4"/>
        <v>0.06</v>
      </c>
      <c r="O14" s="94"/>
    </row>
    <row r="15" spans="1:15" ht="18" customHeight="1" x14ac:dyDescent="0.3">
      <c r="A15" s="35" t="s">
        <v>241</v>
      </c>
      <c r="B15" s="35" t="s">
        <v>185</v>
      </c>
      <c r="C15" s="35" t="s">
        <v>76</v>
      </c>
      <c r="D15" s="37">
        <v>18</v>
      </c>
      <c r="E15" s="37">
        <v>6</v>
      </c>
      <c r="F15" s="92">
        <f t="shared" si="0"/>
        <v>12</v>
      </c>
      <c r="G15" s="37">
        <v>12</v>
      </c>
      <c r="H15" s="37">
        <v>2</v>
      </c>
      <c r="I15" s="92">
        <f t="shared" si="1"/>
        <v>10</v>
      </c>
      <c r="J15" s="37">
        <v>6</v>
      </c>
      <c r="K15" s="37">
        <v>0</v>
      </c>
      <c r="L15" s="92">
        <f t="shared" si="2"/>
        <v>6</v>
      </c>
      <c r="M15" s="58">
        <f t="shared" si="3"/>
        <v>8</v>
      </c>
      <c r="N15" s="93">
        <f t="shared" si="4"/>
        <v>3.2000000000000001E-2</v>
      </c>
      <c r="O15" s="35"/>
    </row>
    <row r="16" spans="1:15" ht="18" customHeight="1" x14ac:dyDescent="0.3">
      <c r="A16" s="94" t="s">
        <v>242</v>
      </c>
      <c r="B16" s="94" t="s">
        <v>172</v>
      </c>
      <c r="C16" s="94" t="s">
        <v>80</v>
      </c>
      <c r="D16" s="95">
        <v>18</v>
      </c>
      <c r="E16" s="95">
        <v>8</v>
      </c>
      <c r="F16" s="96">
        <f t="shared" si="0"/>
        <v>10</v>
      </c>
      <c r="G16" s="95">
        <v>12</v>
      </c>
      <c r="H16" s="95">
        <v>4</v>
      </c>
      <c r="I16" s="96">
        <f t="shared" si="1"/>
        <v>8</v>
      </c>
      <c r="J16" s="95">
        <v>6</v>
      </c>
      <c r="K16" s="95">
        <v>2</v>
      </c>
      <c r="L16" s="96">
        <f t="shared" si="2"/>
        <v>4</v>
      </c>
      <c r="M16" s="97">
        <f t="shared" si="3"/>
        <v>14</v>
      </c>
      <c r="N16" s="98">
        <f t="shared" si="4"/>
        <v>5.6000000000000001E-2</v>
      </c>
      <c r="O16" s="94"/>
    </row>
    <row r="17" spans="1:15" ht="18" customHeight="1" x14ac:dyDescent="0.3">
      <c r="A17" s="35" t="s">
        <v>243</v>
      </c>
      <c r="B17" s="35" t="s">
        <v>201</v>
      </c>
      <c r="C17" s="35" t="s">
        <v>66</v>
      </c>
      <c r="D17" s="37">
        <v>18</v>
      </c>
      <c r="E17" s="37">
        <v>14</v>
      </c>
      <c r="F17" s="92">
        <f t="shared" si="0"/>
        <v>4</v>
      </c>
      <c r="G17" s="37">
        <v>12</v>
      </c>
      <c r="H17" s="37">
        <v>7</v>
      </c>
      <c r="I17" s="92">
        <f t="shared" si="1"/>
        <v>5</v>
      </c>
      <c r="J17" s="37">
        <v>6</v>
      </c>
      <c r="K17" s="37">
        <v>3</v>
      </c>
      <c r="L17" s="92">
        <f t="shared" si="2"/>
        <v>3</v>
      </c>
      <c r="M17" s="58">
        <f t="shared" si="3"/>
        <v>24</v>
      </c>
      <c r="N17" s="93">
        <f t="shared" si="4"/>
        <v>9.6000000000000002E-2</v>
      </c>
      <c r="O17" s="35" t="s">
        <v>564</v>
      </c>
    </row>
    <row r="18" spans="1:15" ht="18" customHeight="1" x14ac:dyDescent="0.3">
      <c r="A18" s="94" t="s">
        <v>245</v>
      </c>
      <c r="B18" s="94" t="s">
        <v>206</v>
      </c>
      <c r="C18" s="94" t="s">
        <v>72</v>
      </c>
      <c r="D18" s="95">
        <v>18</v>
      </c>
      <c r="E18" s="95">
        <v>10</v>
      </c>
      <c r="F18" s="96">
        <f t="shared" si="0"/>
        <v>8</v>
      </c>
      <c r="G18" s="95">
        <v>12</v>
      </c>
      <c r="H18" s="95">
        <v>5</v>
      </c>
      <c r="I18" s="96">
        <f t="shared" si="1"/>
        <v>7</v>
      </c>
      <c r="J18" s="95">
        <v>6</v>
      </c>
      <c r="K18" s="95">
        <v>2</v>
      </c>
      <c r="L18" s="96">
        <f t="shared" si="2"/>
        <v>4</v>
      </c>
      <c r="M18" s="97">
        <f t="shared" si="3"/>
        <v>17</v>
      </c>
      <c r="N18" s="98">
        <f t="shared" si="4"/>
        <v>6.8000000000000005E-2</v>
      </c>
      <c r="O18" s="94"/>
    </row>
    <row r="19" spans="1:15" ht="18" customHeight="1" x14ac:dyDescent="0.3">
      <c r="A19" s="35" t="s">
        <v>246</v>
      </c>
      <c r="B19" s="35" t="s">
        <v>197</v>
      </c>
      <c r="C19" s="35" t="s">
        <v>66</v>
      </c>
      <c r="D19" s="37">
        <v>18</v>
      </c>
      <c r="E19" s="37">
        <v>0</v>
      </c>
      <c r="F19" s="92">
        <f t="shared" si="0"/>
        <v>18</v>
      </c>
      <c r="G19" s="37">
        <v>12</v>
      </c>
      <c r="H19" s="37">
        <v>0</v>
      </c>
      <c r="I19" s="92">
        <f t="shared" si="1"/>
        <v>12</v>
      </c>
      <c r="J19" s="37">
        <v>6</v>
      </c>
      <c r="K19" s="37">
        <v>0</v>
      </c>
      <c r="L19" s="92">
        <f t="shared" si="2"/>
        <v>6</v>
      </c>
      <c r="M19" s="58">
        <f t="shared" si="3"/>
        <v>0</v>
      </c>
      <c r="N19" s="93">
        <f t="shared" si="4"/>
        <v>0</v>
      </c>
      <c r="O19" s="35"/>
    </row>
    <row r="20" spans="1:15" ht="19.5" customHeight="1" x14ac:dyDescent="0.3">
      <c r="A20" s="99" t="s">
        <v>497</v>
      </c>
      <c r="B20" s="100"/>
      <c r="C20" s="100"/>
      <c r="D20" s="101">
        <f>AVERAGE(D5:D19)</f>
        <v>18</v>
      </c>
      <c r="E20" s="101">
        <f>SUM(F5:F19)</f>
        <v>148</v>
      </c>
      <c r="F20" s="101"/>
      <c r="G20" s="101">
        <f>AVERAGE(H5:H19)</f>
        <v>3</v>
      </c>
      <c r="H20" s="101">
        <f>SUM(I5:I19)</f>
        <v>135</v>
      </c>
      <c r="I20" s="101"/>
      <c r="J20" s="155">
        <f>AVERAGE(K5:K19)</f>
        <v>1.3333333333333333</v>
      </c>
      <c r="K20" s="101">
        <f>SUM(L5:L19)</f>
        <v>70</v>
      </c>
      <c r="L20" s="101"/>
      <c r="M20" s="101">
        <f>SUM(M5:M19)</f>
        <v>187</v>
      </c>
      <c r="N20" s="102">
        <f>AVERAGE(N5:N19)</f>
        <v>4.9866666666666663E-2</v>
      </c>
      <c r="O20" s="100"/>
    </row>
    <row r="21" spans="1:15" ht="9.75" customHeight="1" x14ac:dyDescent="0.3"/>
    <row r="22" spans="1:15" ht="21.75" customHeight="1" x14ac:dyDescent="0.3">
      <c r="A22" s="151" t="s">
        <v>565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</row>
    <row r="23" spans="1:15" ht="25.8" customHeight="1" x14ac:dyDescent="0.3">
      <c r="A23" s="103" t="s">
        <v>498</v>
      </c>
      <c r="B23" s="103" t="s">
        <v>499</v>
      </c>
      <c r="C23" s="103" t="s">
        <v>500</v>
      </c>
      <c r="D23" s="103" t="s">
        <v>501</v>
      </c>
      <c r="E23" s="103" t="s">
        <v>502</v>
      </c>
      <c r="F23" s="103" t="s">
        <v>503</v>
      </c>
    </row>
    <row r="24" spans="1:15" ht="18" customHeight="1" x14ac:dyDescent="0.3">
      <c r="A24" s="94" t="s">
        <v>504</v>
      </c>
      <c r="B24" s="95">
        <f>AVERAGE(D5:D19)*15</f>
        <v>270</v>
      </c>
      <c r="C24" s="95">
        <f>SUM(F5:F19)</f>
        <v>148</v>
      </c>
      <c r="D24" s="95">
        <f>B24-C24</f>
        <v>122</v>
      </c>
      <c r="E24" s="104">
        <f>IFERROR(C24/B24,0)</f>
        <v>0.54814814814814816</v>
      </c>
      <c r="F24" s="95" t="s">
        <v>505</v>
      </c>
    </row>
    <row r="25" spans="1:15" ht="18" customHeight="1" x14ac:dyDescent="0.3">
      <c r="A25" s="35" t="s">
        <v>506</v>
      </c>
      <c r="B25" s="37">
        <f>AVERAGE(H5:H19)*15</f>
        <v>45</v>
      </c>
      <c r="C25" s="37">
        <f>SUM(I5:I19)</f>
        <v>135</v>
      </c>
      <c r="D25" s="37">
        <f>B25-C25</f>
        <v>-90</v>
      </c>
      <c r="E25" s="70">
        <f>IFERROR(C25/B25,0)</f>
        <v>3</v>
      </c>
      <c r="F25" s="37" t="s">
        <v>507</v>
      </c>
    </row>
    <row r="26" spans="1:15" ht="18" customHeight="1" x14ac:dyDescent="0.3">
      <c r="A26" s="94" t="s">
        <v>508</v>
      </c>
      <c r="B26" s="95">
        <f>AVERAGE(K5:K19)*15</f>
        <v>20</v>
      </c>
      <c r="C26" s="95">
        <f>SUM(L5:L19)</f>
        <v>70</v>
      </c>
      <c r="D26" s="95">
        <f>B26-C26</f>
        <v>-50</v>
      </c>
      <c r="E26" s="104">
        <f>IFERROR(C26/B26,0)</f>
        <v>3.5</v>
      </c>
      <c r="F26" s="95" t="s">
        <v>509</v>
      </c>
    </row>
  </sheetData>
  <mergeCells count="4">
    <mergeCell ref="A1:N1"/>
    <mergeCell ref="A2:N2"/>
    <mergeCell ref="A3:N3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85FA5"/>
  </sheetPr>
  <dimension ref="A1:N22"/>
  <sheetViews>
    <sheetView zoomScaleNormal="100" workbookViewId="0">
      <pane ySplit="4" topLeftCell="A5" activePane="bottomLeft" state="frozen"/>
      <selection pane="bottomLeft" activeCell="G27" sqref="G27"/>
    </sheetView>
  </sheetViews>
  <sheetFormatPr defaultColWidth="8.6640625" defaultRowHeight="14.4" x14ac:dyDescent="0.3"/>
  <cols>
    <col min="1" max="1" width="21.33203125" customWidth="1"/>
    <col min="2" max="2" width="20" customWidth="1"/>
    <col min="3" max="3" width="26" customWidth="1"/>
    <col min="4" max="4" width="18" customWidth="1"/>
    <col min="5" max="5" width="24.33203125" customWidth="1"/>
    <col min="6" max="6" width="16" customWidth="1"/>
    <col min="7" max="7" width="14" customWidth="1"/>
    <col min="8" max="8" width="28" customWidth="1"/>
    <col min="9" max="9" width="13" customWidth="1"/>
    <col min="10" max="10" width="18" customWidth="1"/>
    <col min="11" max="11" width="24" customWidth="1"/>
  </cols>
  <sheetData>
    <row r="1" spans="1:14" ht="30" customHeight="1" x14ac:dyDescent="0.3">
      <c r="A1" s="152" t="s">
        <v>549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14" ht="15.75" customHeight="1" x14ac:dyDescent="0.3">
      <c r="A2" s="153" t="s">
        <v>510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1:14" ht="21.75" customHeight="1" x14ac:dyDescent="0.3">
      <c r="A3" s="154" t="s">
        <v>566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</row>
    <row r="4" spans="1:14" ht="21.75" customHeight="1" x14ac:dyDescent="0.3">
      <c r="A4" s="105" t="s">
        <v>511</v>
      </c>
      <c r="B4" s="105" t="s">
        <v>109</v>
      </c>
      <c r="C4" s="105" t="s">
        <v>222</v>
      </c>
      <c r="D4" s="105" t="s">
        <v>63</v>
      </c>
      <c r="E4" s="105" t="s">
        <v>116</v>
      </c>
      <c r="F4" s="105" t="s">
        <v>512</v>
      </c>
      <c r="G4" s="105" t="s">
        <v>513</v>
      </c>
      <c r="H4" s="105" t="s">
        <v>514</v>
      </c>
      <c r="I4" s="105" t="s">
        <v>515</v>
      </c>
      <c r="J4" s="105" t="s">
        <v>111</v>
      </c>
      <c r="K4" s="105" t="s">
        <v>119</v>
      </c>
    </row>
    <row r="5" spans="1:14" ht="18" customHeight="1" x14ac:dyDescent="0.3">
      <c r="A5" s="35" t="s">
        <v>120</v>
      </c>
      <c r="B5" s="35" t="s">
        <v>121</v>
      </c>
      <c r="C5" s="35" t="s">
        <v>122</v>
      </c>
      <c r="D5" s="35" t="s">
        <v>66</v>
      </c>
      <c r="E5" s="83">
        <v>45682</v>
      </c>
      <c r="F5" s="71">
        <v>18.5</v>
      </c>
      <c r="G5" s="45" t="s">
        <v>259</v>
      </c>
      <c r="H5" s="35" t="s">
        <v>561</v>
      </c>
      <c r="I5" s="83">
        <v>45689</v>
      </c>
      <c r="J5" s="35" t="s">
        <v>123</v>
      </c>
      <c r="K5" s="35" t="s">
        <v>516</v>
      </c>
    </row>
    <row r="6" spans="1:14" ht="18" customHeight="1" x14ac:dyDescent="0.3">
      <c r="A6" s="106" t="s">
        <v>127</v>
      </c>
      <c r="B6" s="106" t="s">
        <v>128</v>
      </c>
      <c r="C6" s="106" t="s">
        <v>129</v>
      </c>
      <c r="D6" s="106" t="s">
        <v>68</v>
      </c>
      <c r="E6" s="107">
        <v>45687</v>
      </c>
      <c r="F6" s="108">
        <v>12</v>
      </c>
      <c r="G6" s="45" t="s">
        <v>259</v>
      </c>
      <c r="H6" s="106" t="s">
        <v>561</v>
      </c>
      <c r="I6" s="107">
        <v>45698</v>
      </c>
      <c r="J6" s="106" t="s">
        <v>130</v>
      </c>
      <c r="K6" s="106" t="s">
        <v>516</v>
      </c>
    </row>
    <row r="7" spans="1:14" ht="18" customHeight="1" x14ac:dyDescent="0.3">
      <c r="A7" s="35" t="s">
        <v>144</v>
      </c>
      <c r="B7" s="35" t="s">
        <v>145</v>
      </c>
      <c r="C7" s="35" t="s">
        <v>146</v>
      </c>
      <c r="D7" s="35" t="s">
        <v>147</v>
      </c>
      <c r="E7" s="83">
        <v>45693</v>
      </c>
      <c r="F7" s="71">
        <v>10.5</v>
      </c>
      <c r="G7" s="45" t="s">
        <v>259</v>
      </c>
      <c r="H7" s="35" t="s">
        <v>561</v>
      </c>
      <c r="I7" s="83">
        <v>45703</v>
      </c>
      <c r="J7" s="35" t="s">
        <v>148</v>
      </c>
      <c r="K7" s="35" t="s">
        <v>516</v>
      </c>
    </row>
    <row r="8" spans="1:14" ht="18" customHeight="1" x14ac:dyDescent="0.3">
      <c r="A8" s="106" t="s">
        <v>151</v>
      </c>
      <c r="B8" s="106" t="s">
        <v>152</v>
      </c>
      <c r="C8" s="106" t="s">
        <v>153</v>
      </c>
      <c r="D8" s="106" t="s">
        <v>74</v>
      </c>
      <c r="E8" s="107">
        <v>45708</v>
      </c>
      <c r="F8" s="108">
        <v>14</v>
      </c>
      <c r="G8" s="45" t="s">
        <v>259</v>
      </c>
      <c r="H8" s="106" t="s">
        <v>561</v>
      </c>
      <c r="I8" s="109"/>
      <c r="J8" s="106" t="s">
        <v>154</v>
      </c>
      <c r="K8" s="106" t="s">
        <v>517</v>
      </c>
    </row>
    <row r="9" spans="1:14" ht="18" customHeight="1" x14ac:dyDescent="0.3">
      <c r="A9" s="35" t="s">
        <v>176</v>
      </c>
      <c r="B9" s="35" t="s">
        <v>177</v>
      </c>
      <c r="C9" s="35" t="s">
        <v>178</v>
      </c>
      <c r="D9" s="35" t="s">
        <v>66</v>
      </c>
      <c r="E9" s="83">
        <v>45710</v>
      </c>
      <c r="F9" s="71">
        <v>20</v>
      </c>
      <c r="G9" s="45" t="s">
        <v>259</v>
      </c>
      <c r="H9" s="35" t="s">
        <v>561</v>
      </c>
      <c r="I9" s="83">
        <v>45717</v>
      </c>
      <c r="J9" s="35" t="s">
        <v>123</v>
      </c>
      <c r="K9" s="35" t="s">
        <v>516</v>
      </c>
    </row>
    <row r="10" spans="1:14" ht="18" customHeight="1" x14ac:dyDescent="0.3">
      <c r="A10" s="106" t="s">
        <v>180</v>
      </c>
      <c r="B10" s="106" t="s">
        <v>181</v>
      </c>
      <c r="C10" s="106" t="s">
        <v>182</v>
      </c>
      <c r="D10" s="106" t="s">
        <v>82</v>
      </c>
      <c r="E10" s="107">
        <v>45708</v>
      </c>
      <c r="F10" s="108">
        <v>16</v>
      </c>
      <c r="G10" s="38" t="s">
        <v>291</v>
      </c>
      <c r="H10" s="106" t="s">
        <v>518</v>
      </c>
      <c r="I10" s="109"/>
      <c r="J10" s="106" t="s">
        <v>130</v>
      </c>
      <c r="K10" s="106" t="s">
        <v>519</v>
      </c>
    </row>
    <row r="11" spans="1:14" ht="18" customHeight="1" x14ac:dyDescent="0.3">
      <c r="A11" s="35" t="s">
        <v>192</v>
      </c>
      <c r="B11" s="35" t="s">
        <v>193</v>
      </c>
      <c r="C11" s="35" t="s">
        <v>194</v>
      </c>
      <c r="D11" s="35" t="s">
        <v>70</v>
      </c>
      <c r="E11" s="83">
        <v>45720</v>
      </c>
      <c r="F11" s="71">
        <v>22</v>
      </c>
      <c r="G11" s="45" t="s">
        <v>259</v>
      </c>
      <c r="H11" s="35" t="s">
        <v>561</v>
      </c>
      <c r="I11" s="83">
        <v>45731</v>
      </c>
      <c r="J11" s="35" t="s">
        <v>136</v>
      </c>
      <c r="K11" s="35" t="s">
        <v>516</v>
      </c>
    </row>
    <row r="12" spans="1:14" ht="18" customHeight="1" x14ac:dyDescent="0.3">
      <c r="A12" s="106" t="s">
        <v>205</v>
      </c>
      <c r="B12" s="106" t="s">
        <v>206</v>
      </c>
      <c r="C12" s="106" t="s">
        <v>207</v>
      </c>
      <c r="D12" s="106" t="s">
        <v>72</v>
      </c>
      <c r="E12" s="107">
        <v>45734</v>
      </c>
      <c r="F12" s="108">
        <v>13.5</v>
      </c>
      <c r="G12" s="45" t="s">
        <v>259</v>
      </c>
      <c r="H12" s="106" t="s">
        <v>561</v>
      </c>
      <c r="I12" s="109"/>
      <c r="J12" s="106" t="s">
        <v>123</v>
      </c>
      <c r="K12" s="106" t="s">
        <v>520</v>
      </c>
    </row>
    <row r="13" spans="1:14" ht="18" customHeight="1" x14ac:dyDescent="0.3">
      <c r="A13" s="35" t="s">
        <v>139</v>
      </c>
      <c r="B13" s="35" t="s">
        <v>140</v>
      </c>
      <c r="C13" s="35" t="s">
        <v>141</v>
      </c>
      <c r="D13" s="35" t="s">
        <v>82</v>
      </c>
      <c r="E13" s="37"/>
      <c r="F13" s="37"/>
      <c r="G13" s="44" t="s">
        <v>521</v>
      </c>
      <c r="H13" s="35" t="s">
        <v>561</v>
      </c>
      <c r="I13" s="37"/>
      <c r="J13" s="35" t="s">
        <v>123</v>
      </c>
      <c r="K13" s="35" t="s">
        <v>522</v>
      </c>
    </row>
    <row r="14" spans="1:14" ht="18" customHeight="1" x14ac:dyDescent="0.3">
      <c r="A14" s="106" t="s">
        <v>184</v>
      </c>
      <c r="B14" s="106" t="s">
        <v>185</v>
      </c>
      <c r="C14" s="106" t="s">
        <v>186</v>
      </c>
      <c r="D14" s="106" t="s">
        <v>76</v>
      </c>
      <c r="E14" s="109"/>
      <c r="F14" s="109"/>
      <c r="G14" s="44" t="s">
        <v>521</v>
      </c>
      <c r="H14" s="106" t="s">
        <v>561</v>
      </c>
      <c r="I14" s="109"/>
      <c r="J14" s="106" t="s">
        <v>123</v>
      </c>
      <c r="K14" s="106" t="s">
        <v>523</v>
      </c>
    </row>
    <row r="15" spans="1:14" ht="7.5" customHeight="1" x14ac:dyDescent="0.3"/>
    <row r="16" spans="1:14" ht="21.75" customHeight="1" x14ac:dyDescent="0.3">
      <c r="A16" s="154" t="s">
        <v>567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</row>
    <row r="17" spans="1:5" ht="19.5" customHeight="1" x14ac:dyDescent="0.3">
      <c r="A17" s="110" t="s">
        <v>350</v>
      </c>
      <c r="B17" s="110" t="s">
        <v>395</v>
      </c>
      <c r="C17" s="110" t="s">
        <v>524</v>
      </c>
      <c r="D17" s="110" t="s">
        <v>43</v>
      </c>
      <c r="E17" s="110" t="s">
        <v>525</v>
      </c>
    </row>
    <row r="18" spans="1:5" ht="18" customHeight="1" x14ac:dyDescent="0.3">
      <c r="A18" s="106" t="s">
        <v>526</v>
      </c>
      <c r="B18" s="109">
        <f>COUNTIF(G5:G14,"Yes")+COUNTIF(G5:G14,"No")+COUNTIF(G5:G14,"Pending")</f>
        <v>10</v>
      </c>
      <c r="C18" s="109" t="s">
        <v>561</v>
      </c>
      <c r="D18" s="109" t="s">
        <v>561</v>
      </c>
      <c r="E18" s="106" t="s">
        <v>527</v>
      </c>
    </row>
    <row r="19" spans="1:5" ht="18" customHeight="1" x14ac:dyDescent="0.3">
      <c r="A19" s="35" t="s">
        <v>528</v>
      </c>
      <c r="B19" s="37">
        <f>COUNTIF(G5:G14,"Yes")</f>
        <v>7</v>
      </c>
      <c r="C19" s="37" t="s">
        <v>561</v>
      </c>
      <c r="D19" s="37" t="s">
        <v>561</v>
      </c>
      <c r="E19" s="35" t="s">
        <v>529</v>
      </c>
    </row>
    <row r="20" spans="1:5" ht="18" customHeight="1" x14ac:dyDescent="0.3">
      <c r="A20" s="106" t="s">
        <v>530</v>
      </c>
      <c r="B20" s="109">
        <f>COUNTIF(G5:G14,"No")</f>
        <v>1</v>
      </c>
      <c r="C20" s="109" t="s">
        <v>561</v>
      </c>
      <c r="D20" s="109" t="s">
        <v>561</v>
      </c>
      <c r="E20" s="106" t="s">
        <v>531</v>
      </c>
    </row>
    <row r="21" spans="1:5" ht="18" customHeight="1" x14ac:dyDescent="0.3">
      <c r="A21" s="35" t="s">
        <v>532</v>
      </c>
      <c r="B21" s="70">
        <f>IFERROR(COUNTIF(G5:G14,"Yes")/(COUNTIF(G5:G14,"Yes")+COUNTIF(G5:G14,"No")),0)</f>
        <v>0.875</v>
      </c>
      <c r="C21" s="37" t="s">
        <v>533</v>
      </c>
      <c r="D21" s="37" t="str">
        <f>IF(B22&gt;=0.8,"✅ Healthy","⚠️ Below benchmark")</f>
        <v>✅ Healthy</v>
      </c>
      <c r="E21" s="35" t="s">
        <v>534</v>
      </c>
    </row>
    <row r="22" spans="1:5" ht="18" customHeight="1" x14ac:dyDescent="0.3">
      <c r="A22" s="106" t="s">
        <v>535</v>
      </c>
      <c r="B22" s="108">
        <f>IFERROR(AVERAGEIF(G5:G14,"Yes",F5:F14),0)</f>
        <v>15.785714285714286</v>
      </c>
      <c r="C22" s="109" t="s">
        <v>561</v>
      </c>
      <c r="D22" s="109" t="s">
        <v>561</v>
      </c>
      <c r="E22" s="106" t="s">
        <v>536</v>
      </c>
    </row>
  </sheetData>
  <mergeCells count="4">
    <mergeCell ref="A1:N1"/>
    <mergeCell ref="A2:N2"/>
    <mergeCell ref="A3:N3"/>
    <mergeCell ref="A16:N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HR Dashboard</vt:lpstr>
      <vt:lpstr>Recruitment Pipeline</vt:lpstr>
      <vt:lpstr>Onboarding Tracker</vt:lpstr>
      <vt:lpstr>Attrition Data</vt:lpstr>
      <vt:lpstr>Monthly Trends</vt:lpstr>
      <vt:lpstr>Headcount &amp; Diversity</vt:lpstr>
      <vt:lpstr>L&amp;D Training Tracker</vt:lpstr>
      <vt:lpstr>Leave &amp; Absence</vt:lpstr>
      <vt:lpstr>Offer Acceptance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Avik Bal</cp:lastModifiedBy>
  <cp:revision>0</cp:revision>
  <cp:lastPrinted>2026-03-27T06:38:24Z</cp:lastPrinted>
  <dcterms:created xsi:type="dcterms:W3CDTF">2026-03-27T06:14:01Z</dcterms:created>
  <dcterms:modified xsi:type="dcterms:W3CDTF">2026-03-27T07:31:31Z</dcterms:modified>
  <dc:language>en-US</dc:language>
</cp:coreProperties>
</file>
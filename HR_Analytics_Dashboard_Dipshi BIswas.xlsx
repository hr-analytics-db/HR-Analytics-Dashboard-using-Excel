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vikb\Downloads\"/>
    </mc:Choice>
  </mc:AlternateContent>
  <xr:revisionPtr revIDLastSave="0" documentId="8_{4725FA86-F0A2-49BD-93E4-07DEF9294DD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R Dashboard" sheetId="1" r:id="rId1"/>
    <sheet name="Recruitment Pipeline" sheetId="2" r:id="rId2"/>
    <sheet name="Onboarding Tracker" sheetId="3" r:id="rId3"/>
    <sheet name="Attrition Dat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2" i="3" l="1"/>
  <c r="M24" i="1" s="1"/>
  <c r="H22" i="3"/>
  <c r="J24" i="1" s="1"/>
  <c r="F22" i="3"/>
  <c r="G24" i="1" s="1"/>
  <c r="D22" i="3"/>
  <c r="D24" i="1" s="1"/>
  <c r="B22" i="3"/>
  <c r="A24" i="1" s="1"/>
  <c r="J27" i="2"/>
  <c r="M6" i="1" s="1"/>
  <c r="H27" i="2"/>
  <c r="J6" i="1" s="1"/>
  <c r="F27" i="2"/>
  <c r="G6" i="1" s="1"/>
  <c r="D27" i="2"/>
  <c r="D6" i="1" s="1"/>
  <c r="B27" i="2"/>
  <c r="A6" i="1" s="1"/>
  <c r="J25" i="4"/>
  <c r="M42" i="1" s="1"/>
  <c r="H25" i="4"/>
  <c r="J42" i="1" s="1"/>
  <c r="F25" i="4"/>
  <c r="G42" i="1" s="1"/>
  <c r="D25" i="4"/>
  <c r="D42" i="1" s="1"/>
  <c r="B25" i="4"/>
  <c r="A42" i="1" s="1"/>
  <c r="L23" i="2"/>
  <c r="L22" i="2"/>
  <c r="L21" i="2"/>
  <c r="L19" i="2"/>
  <c r="L17" i="2"/>
  <c r="L16" i="2"/>
  <c r="L13" i="2"/>
  <c r="L11" i="2"/>
  <c r="L10" i="2"/>
  <c r="L9" i="2"/>
  <c r="L7" i="2"/>
</calcChain>
</file>

<file path=xl/sharedStrings.xml><?xml version="1.0" encoding="utf-8"?>
<sst xmlns="http://schemas.openxmlformats.org/spreadsheetml/2006/main" count="744" uniqueCount="341">
  <si>
    <t>Last Refreshed: June 2025   |   Data Sources: ATS · HRMS · Exit Records   |   For Internal HR Use Only</t>
  </si>
  <si>
    <t>Total Applications</t>
  </si>
  <si>
    <t>Positions Filled</t>
  </si>
  <si>
    <t>Rejections</t>
  </si>
  <si>
    <t>Open Positions</t>
  </si>
  <si>
    <t>Avg. Days to Close</t>
  </si>
  <si>
    <t>#</t>
  </si>
  <si>
    <t>(days)</t>
  </si>
  <si>
    <t>Stage</t>
  </si>
  <si>
    <t>Count</t>
  </si>
  <si>
    <t>% of Total</t>
  </si>
  <si>
    <t>Notes / Action Required</t>
  </si>
  <si>
    <t>Screening</t>
  </si>
  <si>
    <t>Initial shortlist in progress</t>
  </si>
  <si>
    <t>Technical Round</t>
  </si>
  <si>
    <t>Assignments sent to 3 candidates</t>
  </si>
  <si>
    <t>HR Interview</t>
  </si>
  <si>
    <t>Scheduled for next week</t>
  </si>
  <si>
    <t>Final Round</t>
  </si>
  <si>
    <t>Offer Extended</t>
  </si>
  <si>
    <t>Awaiting candidate response</t>
  </si>
  <si>
    <t>Hired</t>
  </si>
  <si>
    <t>Target: 15 hires per quarter</t>
  </si>
  <si>
    <t>Rejected</t>
  </si>
  <si>
    <t>Primarily tech screen rejections</t>
  </si>
  <si>
    <t>Withdrawn</t>
  </si>
  <si>
    <t>Counter-offer cases</t>
  </si>
  <si>
    <t>Total Onboarded</t>
  </si>
  <si>
    <t>Fully Complete</t>
  </si>
  <si>
    <t>In Progress</t>
  </si>
  <si>
    <t>Not Started</t>
  </si>
  <si>
    <t>Completion Rate</t>
  </si>
  <si>
    <t>(count)</t>
  </si>
  <si>
    <t>(rate)</t>
  </si>
  <si>
    <t>Onboarding Task</t>
  </si>
  <si>
    <t>Completed (of 15)</t>
  </si>
  <si>
    <t>Completion %</t>
  </si>
  <si>
    <t>Status</t>
  </si>
  <si>
    <t>IT Setup</t>
  </si>
  <si>
    <t>✅ On Track</t>
  </si>
  <si>
    <t>ID Card &amp; Access</t>
  </si>
  <si>
    <t>HR Induction</t>
  </si>
  <si>
    <t>Policy Orientation</t>
  </si>
  <si>
    <t>Tool Training</t>
  </si>
  <si>
    <t>30-Day Check-in</t>
  </si>
  <si>
    <t>60-Day Check-in</t>
  </si>
  <si>
    <t>🔄 In Progress</t>
  </si>
  <si>
    <t>90-Day Check-in</t>
  </si>
  <si>
    <t>Total Exits (FY)</t>
  </si>
  <si>
    <t>Voluntary</t>
  </si>
  <si>
    <t>Involuntary</t>
  </si>
  <si>
    <t>Avg. Tenure</t>
  </si>
  <si>
    <t>Exit Int. Done</t>
  </si>
  <si>
    <t>(#)</t>
  </si>
  <si>
    <t>(months)</t>
  </si>
  <si>
    <t xml:space="preserve">  Attrition by Department &amp; Primary Exit Reason</t>
  </si>
  <si>
    <t>Department</t>
  </si>
  <si>
    <t>Exits</t>
  </si>
  <si>
    <t>Top Reason</t>
  </si>
  <si>
    <t>Engineering</t>
  </si>
  <si>
    <t>Better Compensation / Growth</t>
  </si>
  <si>
    <t>Analytics</t>
  </si>
  <si>
    <t>Relocation / Better Opportunity</t>
  </si>
  <si>
    <t>Infrastructure</t>
  </si>
  <si>
    <t>Better Compensation / Restructuring</t>
  </si>
  <si>
    <t>Sales</t>
  </si>
  <si>
    <t>Career Change / Targets</t>
  </si>
  <si>
    <t>Design</t>
  </si>
  <si>
    <t>Better Opportunity / Manager Conflict</t>
  </si>
  <si>
    <t>AI/ML</t>
  </si>
  <si>
    <t>Better Compensation (FAANG)</t>
  </si>
  <si>
    <t>Human Resources</t>
  </si>
  <si>
    <t>Restructuring</t>
  </si>
  <si>
    <t>Finance</t>
  </si>
  <si>
    <t>Better Compensation</t>
  </si>
  <si>
    <t>Product</t>
  </si>
  <si>
    <t>Better Opportunity</t>
  </si>
  <si>
    <t xml:space="preserve">  📖  HOW TO USE THIS DASHBOARD</t>
  </si>
  <si>
    <t>1.</t>
  </si>
  <si>
    <t>Update data in Sheets 1, 2, 3 → All KPIs on this Dashboard auto-refresh via formulas.</t>
  </si>
  <si>
    <t>2.</t>
  </si>
  <si>
    <t>Use filters (Ctrl+Shift+L) on each data sheet to slice by Department, Stage, or Status.</t>
  </si>
  <si>
    <t>3.</t>
  </si>
  <si>
    <t>For Pivot Charts: select any data table → Insert → PivotChart for drill-down analysis.</t>
  </si>
  <si>
    <t>4.</t>
  </si>
  <si>
    <t>Color legend: 🟢 Green = On Track / Hired   🟡 Yellow = In Progress   🔴 Red = Action Needed</t>
  </si>
  <si>
    <t>5.</t>
  </si>
  <si>
    <t>Attrition Rate = Total Exits / Avg. Headcount × 100. Target: &lt;15% annually.</t>
  </si>
  <si>
    <t>📋  Source: Applicant Tracking System (ATS) + Recruiter Sheets   |   Updated: June 2025</t>
  </si>
  <si>
    <t>Candidate ID</t>
  </si>
  <si>
    <t>Candidate Name</t>
  </si>
  <si>
    <t>Role / Position</t>
  </si>
  <si>
    <t>Source</t>
  </si>
  <si>
    <t>Date Applied</t>
  </si>
  <si>
    <t>Current Stage</t>
  </si>
  <si>
    <t>Interviewer / Owner</t>
  </si>
  <si>
    <t>Interview Date</t>
  </si>
  <si>
    <t>Offer Date</t>
  </si>
  <si>
    <t>Date Closed</t>
  </si>
  <si>
    <t>Days to Close</t>
  </si>
  <si>
    <t>Notes</t>
  </si>
  <si>
    <t>REC001</t>
  </si>
  <si>
    <t>Arjun Mehta</t>
  </si>
  <si>
    <t>Senior Backend Engineer</t>
  </si>
  <si>
    <t>LinkedIn</t>
  </si>
  <si>
    <t>Priya Sharma</t>
  </si>
  <si>
    <t>Closed</t>
  </si>
  <si>
    <t>Joined Feb 1</t>
  </si>
  <si>
    <t>REC002</t>
  </si>
  <si>
    <t>Sneha Rao</t>
  </si>
  <si>
    <t>Data Analyst</t>
  </si>
  <si>
    <t>Naukri</t>
  </si>
  <si>
    <t>Rahul Nair</t>
  </si>
  <si>
    <t>Strong SQL skills</t>
  </si>
  <si>
    <t>REC003</t>
  </si>
  <si>
    <t>Vikram Iyer</t>
  </si>
  <si>
    <t>DevOps Engineer</t>
  </si>
  <si>
    <t>Referral (Internal)</t>
  </si>
  <si>
    <t>Anil Kumar</t>
  </si>
  <si>
    <t>Failed system design</t>
  </si>
  <si>
    <t>REC004</t>
  </si>
  <si>
    <t>Pooja Krishnan</t>
  </si>
  <si>
    <t>Product Manager</t>
  </si>
  <si>
    <t>Deepa Menon</t>
  </si>
  <si>
    <t>Strong candidate</t>
  </si>
  <si>
    <t>REC005</t>
  </si>
  <si>
    <t>Ravi Gupta</t>
  </si>
  <si>
    <t>QA Engineer</t>
  </si>
  <si>
    <t>Quality Assurance</t>
  </si>
  <si>
    <t>Indeed</t>
  </si>
  <si>
    <t>Karan Malhotra</t>
  </si>
  <si>
    <t>Automation expertise</t>
  </si>
  <si>
    <t>REC006</t>
  </si>
  <si>
    <t>Ananya Singh</t>
  </si>
  <si>
    <t>UX Designer</t>
  </si>
  <si>
    <t>Dribbble</t>
  </si>
  <si>
    <t>Sunita Patel</t>
  </si>
  <si>
    <t>Portfolio impressive</t>
  </si>
  <si>
    <t>REC007</t>
  </si>
  <si>
    <t>Karthik Suresh</t>
  </si>
  <si>
    <t>Cloud Architect</t>
  </si>
  <si>
    <t>AWS certified</t>
  </si>
  <si>
    <t>REC008</t>
  </si>
  <si>
    <t>Meera Pillai</t>
  </si>
  <si>
    <t>HR Business Partner</t>
  </si>
  <si>
    <t>Divya Nambiar</t>
  </si>
  <si>
    <t>Screening scheduled Feb 28</t>
  </si>
  <si>
    <t>REC009</t>
  </si>
  <si>
    <t>Suresh Babu</t>
  </si>
  <si>
    <t>Mobile Developer (iOS)</t>
  </si>
  <si>
    <t>AngelList</t>
  </si>
  <si>
    <t>No SwiftUI exp.</t>
  </si>
  <si>
    <t>REC010</t>
  </si>
  <si>
    <t>Lakshmi Nair</t>
  </si>
  <si>
    <t>Finance Analyst</t>
  </si>
  <si>
    <t>Referral (External)</t>
  </si>
  <si>
    <t>CA qualified</t>
  </si>
  <si>
    <t>REC011</t>
  </si>
  <si>
    <t>Rohit Verma</t>
  </si>
  <si>
    <t>Senior Frontend Engineer</t>
  </si>
  <si>
    <t>React/Next.js expert</t>
  </si>
  <si>
    <t>REC012</t>
  </si>
  <si>
    <t>Divya Krishnaswamy</t>
  </si>
  <si>
    <t>Scrum Master</t>
  </si>
  <si>
    <t>Accepted counter-offer</t>
  </si>
  <si>
    <t>REC013</t>
  </si>
  <si>
    <t>Sanjay Thakur</t>
  </si>
  <si>
    <t>ML Engineer</t>
  </si>
  <si>
    <t>PhD - NLP focus</t>
  </si>
  <si>
    <t>REC014</t>
  </si>
  <si>
    <t>Preethi Menon</t>
  </si>
  <si>
    <t>Business Analyst</t>
  </si>
  <si>
    <t>6 yrs exp</t>
  </si>
  <si>
    <t>REC015</t>
  </si>
  <si>
    <t>Ashwin Kumar</t>
  </si>
  <si>
    <t>Security Engineer</t>
  </si>
  <si>
    <t>CISSP certified</t>
  </si>
  <si>
    <t>REC016</t>
  </si>
  <si>
    <t>Nisha Agarwal</t>
  </si>
  <si>
    <t>Technical Writer</t>
  </si>
  <si>
    <t>Portfolio review pending</t>
  </si>
  <si>
    <t>REC017</t>
  </si>
  <si>
    <t>Vivek Chandran</t>
  </si>
  <si>
    <t>Backend Engineer (Python)</t>
  </si>
  <si>
    <t>HackerEarth</t>
  </si>
  <si>
    <t>Weak system design</t>
  </si>
  <si>
    <t>REC018</t>
  </si>
  <si>
    <t>Rekha Sundaram</t>
  </si>
  <si>
    <t>Customer Success Manager</t>
  </si>
  <si>
    <t>SaaS background</t>
  </si>
  <si>
    <t>REC019</t>
  </si>
  <si>
    <t>Manoj Pillai</t>
  </si>
  <si>
    <t>Data Engineer</t>
  </si>
  <si>
    <t>Spark/Kafka exp</t>
  </si>
  <si>
    <t>REC020</t>
  </si>
  <si>
    <t>Kavitha Rajan</t>
  </si>
  <si>
    <t>Graphic Designer</t>
  </si>
  <si>
    <t>Behance</t>
  </si>
  <si>
    <t>Strong brand design</t>
  </si>
  <si>
    <t>Avg. Days to Close (closed roles)</t>
  </si>
  <si>
    <t>📋  Source: HR System (HRMS) + Onboarding Portal   |   Updated: June 2025   |   ✅ = Complete   ❌ = Pending   🔄 = In Progress</t>
  </si>
  <si>
    <t>Emp ID</t>
  </si>
  <si>
    <t>Employee Name</t>
  </si>
  <si>
    <t>Role</t>
  </si>
  <si>
    <t>Date of Joining</t>
  </si>
  <si>
    <t>Buddy Assigned</t>
  </si>
  <si>
    <t>Overall Status</t>
  </si>
  <si>
    <t>EMP101</t>
  </si>
  <si>
    <t>✅</t>
  </si>
  <si>
    <t>Complete</t>
  </si>
  <si>
    <t>EMP102</t>
  </si>
  <si>
    <t>🔄</t>
  </si>
  <si>
    <t>❌</t>
  </si>
  <si>
    <t>EMP103</t>
  </si>
  <si>
    <t>EMP104</t>
  </si>
  <si>
    <t>EMP105</t>
  </si>
  <si>
    <t>EMP106</t>
  </si>
  <si>
    <t>EMP107</t>
  </si>
  <si>
    <t>EMP108</t>
  </si>
  <si>
    <t>Ananya Das</t>
  </si>
  <si>
    <t>EMP109</t>
  </si>
  <si>
    <t>EMP110</t>
  </si>
  <si>
    <t>EMP111</t>
  </si>
  <si>
    <t>EMP112</t>
  </si>
  <si>
    <t>EMP113</t>
  </si>
  <si>
    <t>Backend Engineer</t>
  </si>
  <si>
    <t>EMP114</t>
  </si>
  <si>
    <t>EMP115</t>
  </si>
  <si>
    <t>📋  Source: Exit Interviews + HRMS Records   |   Updated: June 2025   |   Voluntary = Employee-initiated   |   Involuntary = Company-initiated</t>
  </si>
  <si>
    <t>Exit ID</t>
  </si>
  <si>
    <t>Date of Exit</t>
  </si>
  <si>
    <t>Tenure (Months)</t>
  </si>
  <si>
    <t>Exit Type</t>
  </si>
  <si>
    <t>Primary Reason</t>
  </si>
  <si>
    <t>Secondary Reason</t>
  </si>
  <si>
    <t>Exit Interview Done</t>
  </si>
  <si>
    <t>Performance Band</t>
  </si>
  <si>
    <t>EX001</t>
  </si>
  <si>
    <t>Aakash Joshi</t>
  </si>
  <si>
    <t>Growth Opportunity</t>
  </si>
  <si>
    <t>Yes</t>
  </si>
  <si>
    <t>B</t>
  </si>
  <si>
    <t>Joined competitor</t>
  </si>
  <si>
    <t>EX002</t>
  </si>
  <si>
    <t>Meena Thomas</t>
  </si>
  <si>
    <t>Data Scientist</t>
  </si>
  <si>
    <t>Relocation</t>
  </si>
  <si>
    <t>Personal Reason</t>
  </si>
  <si>
    <t>A</t>
  </si>
  <si>
    <t>Moving to Bangalore</t>
  </si>
  <si>
    <t>EX003</t>
  </si>
  <si>
    <t>Siddharth Pillai</t>
  </si>
  <si>
    <t>Cloud Engineer</t>
  </si>
  <si>
    <t>Lack of Growth</t>
  </si>
  <si>
    <t>B+</t>
  </si>
  <si>
    <t>Startup offer</t>
  </si>
  <si>
    <t>EX004</t>
  </si>
  <si>
    <t>QA Lead</t>
  </si>
  <si>
    <t>Performance Issues</t>
  </si>
  <si>
    <t>Attendance</t>
  </si>
  <si>
    <t>C</t>
  </si>
  <si>
    <t>PIP not met</t>
  </si>
  <si>
    <t>EX005</t>
  </si>
  <si>
    <t>Ramesh Nair</t>
  </si>
  <si>
    <t>Account Executive</t>
  </si>
  <si>
    <t>Career Change</t>
  </si>
  <si>
    <t>Work-Life Balance</t>
  </si>
  <si>
    <t>Moving to non-tech</t>
  </si>
  <si>
    <t>EX006</t>
  </si>
  <si>
    <t>Sunita Pillai</t>
  </si>
  <si>
    <t>Product Designer</t>
  </si>
  <si>
    <t>Manager Conflict</t>
  </si>
  <si>
    <t>No</t>
  </si>
  <si>
    <t>Counter-offer lost</t>
  </si>
  <si>
    <t>EX007</t>
  </si>
  <si>
    <t>Arvind Rao</t>
  </si>
  <si>
    <t>Full Stack Developer</t>
  </si>
  <si>
    <t>Higher Studies</t>
  </si>
  <si>
    <t>A-</t>
  </si>
  <si>
    <t>MS in USA</t>
  </si>
  <si>
    <t>EX008</t>
  </si>
  <si>
    <t>Lakshmi Das</t>
  </si>
  <si>
    <t>HR Executive</t>
  </si>
  <si>
    <t>Role Redundancy</t>
  </si>
  <si>
    <t>Dept restructure</t>
  </si>
  <si>
    <t>EX009</t>
  </si>
  <si>
    <t>Kiran Menon</t>
  </si>
  <si>
    <t>Senior Finance Analyst</t>
  </si>
  <si>
    <t>BFSI sector move</t>
  </si>
  <si>
    <t>EX010</t>
  </si>
  <si>
    <t>Neha Agarwal</t>
  </si>
  <si>
    <t>Frontend Engineer</t>
  </si>
  <si>
    <t>Remote Work Preference</t>
  </si>
  <si>
    <t>WFH not approved</t>
  </si>
  <si>
    <t>EX011</t>
  </si>
  <si>
    <t>Gautam Shetty</t>
  </si>
  <si>
    <t>ML Research Engineer</t>
  </si>
  <si>
    <t>Research Opportunity</t>
  </si>
  <si>
    <t>FAANG offer</t>
  </si>
  <si>
    <t>EX012</t>
  </si>
  <si>
    <t>Pallavi Raj</t>
  </si>
  <si>
    <t>Associate PM</t>
  </si>
  <si>
    <t>Startup opportunity</t>
  </si>
  <si>
    <t>EX013</t>
  </si>
  <si>
    <t>Rajesh Kumar</t>
  </si>
  <si>
    <t>Network Engineer</t>
  </si>
  <si>
    <t>Misconduct</t>
  </si>
  <si>
    <t>C-</t>
  </si>
  <si>
    <t>Policy violation</t>
  </si>
  <si>
    <t>EX014</t>
  </si>
  <si>
    <t>Usha Nambiar</t>
  </si>
  <si>
    <t>BI Developer</t>
  </si>
  <si>
    <t>Spouse Transfer</t>
  </si>
  <si>
    <t>Family reason</t>
  </si>
  <si>
    <t>EX015</t>
  </si>
  <si>
    <t>Deepak Singh</t>
  </si>
  <si>
    <t>B-</t>
  </si>
  <si>
    <t>Early attrition</t>
  </si>
  <si>
    <t>EX016</t>
  </si>
  <si>
    <t>Swathi Krishnan</t>
  </si>
  <si>
    <t>Freelancing</t>
  </si>
  <si>
    <t>EX017</t>
  </si>
  <si>
    <t>Mohit Batra</t>
  </si>
  <si>
    <t>Sales Manager</t>
  </si>
  <si>
    <t>Target Not Met</t>
  </si>
  <si>
    <t>Team downsized</t>
  </si>
  <si>
    <t>EX018</t>
  </si>
  <si>
    <t>Geetha Varghese</t>
  </si>
  <si>
    <t>MBA program</t>
  </si>
  <si>
    <t>Total Exits</t>
  </si>
  <si>
    <t>Avg. Tenure (Months)</t>
  </si>
  <si>
    <t xml:space="preserve">  📌  SECTION A - RECRUITMENT PIPELINE SUMMARY</t>
  </si>
  <si>
    <t xml:space="preserve">  Pipeline Stage Breakdown - Candidates by Stage</t>
  </si>
  <si>
    <t>2 candidates - decision pending</t>
  </si>
  <si>
    <t xml:space="preserve">  📌  SECTION B - ONBOARDING STATUS SUMMARY</t>
  </si>
  <si>
    <t xml:space="preserve">  Onboarding Checklist Completion - % Employees with Task Complete</t>
  </si>
  <si>
    <t xml:space="preserve">  📌  SECTION C - ATTRITION &amp; EXIT SUMMARY</t>
  </si>
  <si>
    <t>RECRUITMENT PIPELINE TRACKER - FY 2024-25  |  TechNova Solutions Pvt. Ltd.</t>
  </si>
  <si>
    <t>EMPLOYEE ONBOARDING TRACKER - FY 2024-25  |  TechNova Solutions Pvt. Ltd.</t>
  </si>
  <si>
    <t>ATTRITION &amp; EXIT DATA - FY 2024-25  |  TechNova Solutions Pvt. Ltd.</t>
  </si>
  <si>
    <t>🏢  HR ANALYTICS DASHBOARD  |  FY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</si>
</sst>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dd\-mmm\-yyyy"/>
  </numFmts>
  <fonts count="3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9"/>
      <color rgb="FF595959"/>
      <name val="Arial"/>
      <charset val="1"/>
    </font>
    <font>
      <b/>
      <sz val="22"/>
      <color rgb="FF1F3864"/>
      <name val="Arial"/>
      <charset val="1"/>
    </font>
    <font>
      <i/>
      <sz val="8"/>
      <color rgb="FF808080"/>
      <name val="Arial"/>
      <charset val="1"/>
    </font>
    <font>
      <b/>
      <sz val="10"/>
      <color rgb="FF2E75B6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22"/>
      <color rgb="FF1A5276"/>
      <name val="Arial"/>
      <charset val="1"/>
    </font>
    <font>
      <b/>
      <sz val="10"/>
      <color rgb="FF1A5276"/>
      <name val="Arial"/>
      <charset val="1"/>
    </font>
    <font>
      <b/>
      <sz val="22"/>
      <color rgb="FF7B241C"/>
      <name val="Arial"/>
      <charset val="1"/>
    </font>
    <font>
      <b/>
      <sz val="10"/>
      <color rgb="FF7B241C"/>
      <name val="Arial"/>
      <charset val="1"/>
    </font>
    <font>
      <b/>
      <sz val="10"/>
      <color rgb="FF1F3864"/>
      <name val="Arial"/>
      <charset val="1"/>
    </font>
    <font>
      <b/>
      <sz val="9"/>
      <color rgb="FF2E75B6"/>
      <name val="Arial"/>
      <charset val="1"/>
    </font>
    <font>
      <sz val="9"/>
      <color rgb="FF2C3E50"/>
      <name val="Arial"/>
      <charset val="1"/>
    </font>
    <font>
      <b/>
      <sz val="13"/>
      <color rgb="FFFFFFFF"/>
      <name val="Arial"/>
      <charset val="1"/>
    </font>
    <font>
      <i/>
      <sz val="9"/>
      <color rgb="FF404040"/>
      <name val="Arial"/>
      <charset val="1"/>
    </font>
    <font>
      <b/>
      <sz val="9"/>
      <color rgb="FF375623"/>
      <name val="Arial"/>
      <charset val="1"/>
    </font>
    <font>
      <b/>
      <sz val="9"/>
      <color rgb="FF9C0006"/>
      <name val="Arial"/>
      <charset val="1"/>
    </font>
    <font>
      <b/>
      <sz val="9"/>
      <color rgb="FF843C0C"/>
      <name val="Arial"/>
      <charset val="1"/>
    </font>
    <font>
      <b/>
      <sz val="9"/>
      <color rgb="FF1F3864"/>
      <name val="Arial"/>
      <charset val="1"/>
    </font>
    <font>
      <b/>
      <sz val="9"/>
      <color rgb="FF7F6000"/>
      <name val="Arial"/>
      <charset val="1"/>
    </font>
    <font>
      <b/>
      <sz val="9"/>
      <color rgb="FF595959"/>
      <name val="Arial"/>
      <charset val="1"/>
    </font>
    <font>
      <b/>
      <sz val="14"/>
      <color rgb="FF1F3864"/>
      <name val="Arial"/>
      <charset val="1"/>
    </font>
    <font>
      <b/>
      <sz val="14"/>
      <color rgb="FF1A5276"/>
      <name val="Arial"/>
      <charset val="1"/>
    </font>
    <font>
      <b/>
      <sz val="14"/>
      <color rgb="FF7B241C"/>
      <name val="Arial"/>
      <charset val="1"/>
    </font>
    <font>
      <b/>
      <sz val="10"/>
      <color rgb="FF595959"/>
      <name val="Arial"/>
      <family val="2"/>
    </font>
    <font>
      <b/>
      <sz val="13"/>
      <color rgb="FFFFFFFF"/>
      <name val="Arial"/>
      <family val="2"/>
    </font>
    <font>
      <i/>
      <sz val="10"/>
      <color rgb="FF808080"/>
      <name val="Arial"/>
      <family val="2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b/>
      <sz val="16"/>
      <color rgb="FFFFFFF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EBF3FB"/>
        <bgColor rgb="FFEBF8FF"/>
      </patternFill>
    </fill>
    <fill>
      <patternFill patternType="solid">
        <fgColor rgb="FF2E75B6"/>
        <bgColor rgb="FF008080"/>
      </patternFill>
    </fill>
    <fill>
      <patternFill patternType="solid">
        <fgColor rgb="FFD6E4F0"/>
        <bgColor rgb="FFD9E1F2"/>
      </patternFill>
    </fill>
    <fill>
      <patternFill patternType="solid">
        <fgColor rgb="FF1A5276"/>
        <bgColor rgb="FF1F3864"/>
      </patternFill>
    </fill>
    <fill>
      <patternFill patternType="solid">
        <fgColor rgb="FFD6EAF8"/>
        <bgColor rgb="FFDEEBF7"/>
      </patternFill>
    </fill>
    <fill>
      <patternFill patternType="solid">
        <fgColor rgb="FFEBF8FF"/>
        <bgColor rgb="FFEBF3FB"/>
      </patternFill>
    </fill>
    <fill>
      <patternFill patternType="solid">
        <fgColor rgb="FFE2EFDA"/>
        <bgColor rgb="FFDEEBF7"/>
      </patternFill>
    </fill>
    <fill>
      <patternFill patternType="solid">
        <fgColor rgb="FFFFF2CC"/>
        <bgColor rgb="FFFDEDEC"/>
      </patternFill>
    </fill>
    <fill>
      <patternFill patternType="solid">
        <fgColor rgb="FF7B241C"/>
        <bgColor rgb="FF843C0C"/>
      </patternFill>
    </fill>
    <fill>
      <patternFill patternType="solid">
        <fgColor rgb="FFFADBD8"/>
        <bgColor rgb="FFFFE0E0"/>
      </patternFill>
    </fill>
    <fill>
      <patternFill patternType="solid">
        <fgColor rgb="FFFDEDEC"/>
        <bgColor rgb="FFF2F2F2"/>
      </patternFill>
    </fill>
    <fill>
      <patternFill patternType="solid">
        <fgColor rgb="FFF4F9FF"/>
        <bgColor rgb="FFF7FBFF"/>
      </patternFill>
    </fill>
    <fill>
      <patternFill patternType="solid">
        <fgColor rgb="FFF7FBFF"/>
        <bgColor rgb="FFF4F9FF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7FBFF"/>
      </patternFill>
    </fill>
    <fill>
      <patternFill patternType="solid">
        <fgColor rgb="FFFFE0E0"/>
        <bgColor rgb="FFFCE4D6"/>
      </patternFill>
    </fill>
    <fill>
      <patternFill patternType="solid">
        <fgColor rgb="FFFCE4D6"/>
        <bgColor rgb="FFFFE0E0"/>
      </patternFill>
    </fill>
    <fill>
      <patternFill patternType="solid">
        <fgColor rgb="FFD9E1F2"/>
        <bgColor rgb="FFD6E4F0"/>
      </patternFill>
    </fill>
    <fill>
      <patternFill patternType="solid">
        <fgColor rgb="FFDEEBF7"/>
        <bgColor rgb="FFD6EAF8"/>
      </patternFill>
    </fill>
  </fills>
  <borders count="6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1" fillId="0" borderId="0" xfId="0" applyFont="1"/>
    <xf numFmtId="0" fontId="6" fillId="8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7" fillId="0" borderId="0" xfId="0" applyFont="1"/>
    <xf numFmtId="0" fontId="3" fillId="4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left" vertical="center"/>
    </xf>
    <xf numFmtId="166" fontId="9" fillId="15" borderId="2" xfId="0" applyNumberFormat="1" applyFont="1" applyFill="1" applyBorder="1" applyAlignment="1">
      <alignment horizontal="left" vertical="center"/>
    </xf>
    <xf numFmtId="0" fontId="19" fillId="16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left" vertical="center"/>
    </xf>
    <xf numFmtId="166" fontId="9" fillId="18" borderId="2" xfId="0" applyNumberFormat="1" applyFont="1" applyFill="1" applyBorder="1" applyAlignment="1">
      <alignment horizontal="left" vertical="center"/>
    </xf>
    <xf numFmtId="0" fontId="9" fillId="18" borderId="2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21" fillId="20" borderId="2" xfId="0" applyFont="1" applyFill="1" applyBorder="1" applyAlignment="1">
      <alignment horizontal="center" vertical="center"/>
    </xf>
    <xf numFmtId="1" fontId="9" fillId="18" borderId="2" xfId="0" applyNumberFormat="1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horizontal="center" vertical="center"/>
    </xf>
    <xf numFmtId="0" fontId="22" fillId="22" borderId="2" xfId="0" applyFont="1" applyFill="1" applyBorder="1" applyAlignment="1">
      <alignment horizontal="center" vertical="center"/>
    </xf>
    <xf numFmtId="1" fontId="9" fillId="15" borderId="2" xfId="0" applyNumberFormat="1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24" fillId="17" borderId="2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9" fillId="19" borderId="2" xfId="0" applyFont="1" applyFill="1" applyBorder="1" applyAlignment="1">
      <alignment horizontal="center" vertical="center"/>
    </xf>
    <xf numFmtId="0" fontId="3" fillId="11" borderId="0" xfId="0" applyFont="1" applyFill="1" applyAlignment="1">
      <alignment vertical="center"/>
    </xf>
    <xf numFmtId="0" fontId="6" fillId="13" borderId="0" xfId="0" applyFont="1" applyFill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6" fillId="14" borderId="1" xfId="0" applyFont="1" applyFill="1" applyBorder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5" fillId="3" borderId="1" xfId="0" applyFont="1" applyFill="1" applyBorder="1" applyAlignment="1">
      <alignment vertical="center"/>
    </xf>
    <xf numFmtId="164" fontId="25" fillId="3" borderId="1" xfId="0" applyNumberFormat="1" applyFont="1" applyFill="1" applyBorder="1" applyAlignment="1">
      <alignment vertical="center"/>
    </xf>
    <xf numFmtId="0" fontId="30" fillId="3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31" fillId="4" borderId="0" xfId="0" applyFont="1" applyFill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5" xfId="0" applyFont="1" applyFill="1" applyBorder="1" applyAlignment="1">
      <alignment vertical="center"/>
    </xf>
    <xf numFmtId="165" fontId="26" fillId="7" borderId="1" xfId="0" applyNumberFormat="1" applyFont="1" applyFill="1" applyBorder="1" applyAlignment="1">
      <alignment vertical="center"/>
    </xf>
    <xf numFmtId="0" fontId="27" fillId="12" borderId="1" xfId="0" applyFont="1" applyFill="1" applyBorder="1" applyAlignment="1">
      <alignment vertical="center"/>
    </xf>
    <xf numFmtId="164" fontId="27" fillId="12" borderId="1" xfId="0" applyNumberFormat="1" applyFont="1" applyFill="1" applyBorder="1" applyAlignment="1">
      <alignment vertical="center"/>
    </xf>
    <xf numFmtId="0" fontId="32" fillId="15" borderId="2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165" fontId="10" fillId="8" borderId="4" xfId="0" applyNumberFormat="1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164" fontId="12" fillId="13" borderId="4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CCCCC"/>
      <rgbColor rgb="FF808080"/>
      <rgbColor rgb="FFEBF3FB"/>
      <rgbColor rgb="FF993366"/>
      <rgbColor rgb="FFFFF2CC"/>
      <rgbColor rgb="FFD6EAF8"/>
      <rgbColor rgb="FF660066"/>
      <rgbColor rgb="FFF7FBFF"/>
      <rgbColor rgb="FF1A5276"/>
      <rgbColor rgb="FFD9E1F2"/>
      <rgbColor rgb="FF000080"/>
      <rgbColor rgb="FFFF00FF"/>
      <rgbColor rgb="FFFDEDEC"/>
      <rgbColor rgb="FF00FFFF"/>
      <rgbColor rgb="FF800080"/>
      <rgbColor rgb="FF7B241C"/>
      <rgbColor rgb="FF008080"/>
      <rgbColor rgb="FF0000FF"/>
      <rgbColor rgb="FF00CCFF"/>
      <rgbColor rgb="FFEBF8FF"/>
      <rgbColor rgb="FFC6EFCE"/>
      <rgbColor rgb="FFFCE4D6"/>
      <rgbColor rgb="FFD6E4F0"/>
      <rgbColor rgb="FFFFE0E0"/>
      <rgbColor rgb="FFDEEBF7"/>
      <rgbColor rgb="FFFADBD8"/>
      <rgbColor rgb="FF2E75B6"/>
      <rgbColor rgb="FF33CCCC"/>
      <rgbColor rgb="FF99CC00"/>
      <rgbColor rgb="FFF2F2F2"/>
      <rgbColor rgb="FFFF9900"/>
      <rgbColor rgb="FFFF6600"/>
      <rgbColor rgb="FF595959"/>
      <rgbColor rgb="FFF4F9FF"/>
      <rgbColor rgb="FF1F3864"/>
      <rgbColor rgb="FF339966"/>
      <rgbColor rgb="FF003300"/>
      <rgbColor rgb="FF375623"/>
      <rgbColor rgb="FF843C0C"/>
      <rgbColor rgb="FF993366"/>
      <rgbColor rgb="FF2C3E5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O64"/>
  <sheetViews>
    <sheetView showGridLines="0" tabSelected="1" zoomScaleNormal="100" workbookViewId="0">
      <pane ySplit="2" topLeftCell="A3" activePane="bottomLeft" state="frozen"/>
      <selection pane="bottomLeft" activeCell="D6" sqref="D6:F7"/>
    </sheetView>
  </sheetViews>
  <sheetFormatPr defaultColWidth="8.6640625" defaultRowHeight="14.4" x14ac:dyDescent="0.3"/>
  <cols>
    <col min="1" max="1" width="15" customWidth="1"/>
    <col min="2" max="2" width="10.109375" customWidth="1"/>
    <col min="3" max="3" width="9.21875" customWidth="1"/>
    <col min="4" max="4" width="14.109375" customWidth="1"/>
    <col min="5" max="15" width="8.44140625" customWidth="1"/>
  </cols>
  <sheetData>
    <row r="1" spans="1:15" ht="37.5" customHeight="1" x14ac:dyDescent="0.3">
      <c r="A1" s="71" t="s">
        <v>340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5.75" customHeight="1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5" ht="21.75" customHeight="1" x14ac:dyDescent="0.3">
      <c r="A4" s="58" t="s">
        <v>331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21.75" customHeight="1" x14ac:dyDescent="0.3">
      <c r="A5" s="55" t="s">
        <v>1</v>
      </c>
      <c r="B5" s="55"/>
      <c r="C5" s="55"/>
      <c r="D5" s="55" t="s">
        <v>2</v>
      </c>
      <c r="E5" s="55"/>
      <c r="F5" s="55"/>
      <c r="G5" s="55" t="s">
        <v>3</v>
      </c>
      <c r="H5" s="55"/>
      <c r="I5" s="55"/>
      <c r="J5" s="55" t="s">
        <v>4</v>
      </c>
      <c r="K5" s="55"/>
      <c r="L5" s="55"/>
      <c r="M5" s="55" t="s">
        <v>5</v>
      </c>
      <c r="N5" s="55"/>
      <c r="O5" s="55"/>
    </row>
    <row r="6" spans="1:15" ht="21.75" customHeight="1" x14ac:dyDescent="0.3">
      <c r="A6" s="56">
        <f>'Recruitment Pipeline'!B27</f>
        <v>20</v>
      </c>
      <c r="B6" s="56"/>
      <c r="C6" s="56"/>
      <c r="D6" s="56">
        <f>'Recruitment Pipeline'!D27</f>
        <v>5</v>
      </c>
      <c r="E6" s="56"/>
      <c r="F6" s="56"/>
      <c r="G6" s="56">
        <f>'Recruitment Pipeline'!F27</f>
        <v>3</v>
      </c>
      <c r="H6" s="56"/>
      <c r="I6" s="56"/>
      <c r="J6" s="56">
        <f>'Recruitment Pipeline'!H27</f>
        <v>11</v>
      </c>
      <c r="K6" s="56"/>
      <c r="L6" s="56"/>
      <c r="M6" s="57">
        <f>'Recruitment Pipeline'!J27</f>
        <v>24.333333333333332</v>
      </c>
      <c r="N6" s="57"/>
      <c r="O6" s="57"/>
    </row>
    <row r="7" spans="1:15" ht="21.75" customHeight="1" x14ac:dyDescent="0.3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7"/>
      <c r="N7" s="57"/>
      <c r="O7" s="57"/>
    </row>
    <row r="8" spans="1:15" ht="21.75" customHeight="1" x14ac:dyDescent="0.3">
      <c r="A8" s="54" t="s">
        <v>6</v>
      </c>
      <c r="B8" s="54"/>
      <c r="C8" s="54"/>
      <c r="D8" s="54" t="s">
        <v>6</v>
      </c>
      <c r="E8" s="54"/>
      <c r="F8" s="54"/>
      <c r="G8" s="54" t="s">
        <v>6</v>
      </c>
      <c r="H8" s="54"/>
      <c r="I8" s="54"/>
      <c r="J8" s="54" t="s">
        <v>6</v>
      </c>
      <c r="K8" s="54"/>
      <c r="L8" s="54"/>
      <c r="M8" s="54" t="s">
        <v>7</v>
      </c>
      <c r="N8" s="54"/>
      <c r="O8" s="54"/>
    </row>
    <row r="9" spans="1:15" ht="7.5" customHeight="1" x14ac:dyDescent="0.3"/>
    <row r="10" spans="1:15" ht="19.5" customHeight="1" x14ac:dyDescent="0.3">
      <c r="A10" s="4" t="s">
        <v>332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28.2" customHeight="1" x14ac:dyDescent="0.3">
      <c r="A11" s="8" t="s">
        <v>8</v>
      </c>
      <c r="B11" s="8" t="s">
        <v>9</v>
      </c>
      <c r="C11" s="8" t="s">
        <v>10</v>
      </c>
      <c r="D11" s="48" t="s">
        <v>11</v>
      </c>
      <c r="E11" s="49"/>
      <c r="F11" s="49"/>
    </row>
    <row r="12" spans="1:15" ht="18" customHeight="1" x14ac:dyDescent="0.3">
      <c r="A12" s="9" t="s">
        <v>12</v>
      </c>
      <c r="B12" s="10">
        <v>2</v>
      </c>
      <c r="C12" s="11">
        <v>0.1</v>
      </c>
      <c r="D12" s="9" t="s">
        <v>13</v>
      </c>
    </row>
    <row r="13" spans="1:15" ht="18" customHeight="1" x14ac:dyDescent="0.3">
      <c r="A13" s="9" t="s">
        <v>14</v>
      </c>
      <c r="B13" s="10">
        <v>3</v>
      </c>
      <c r="C13" s="11">
        <v>0.15</v>
      </c>
      <c r="D13" s="9" t="s">
        <v>15</v>
      </c>
    </row>
    <row r="14" spans="1:15" ht="18" customHeight="1" x14ac:dyDescent="0.3">
      <c r="A14" s="9" t="s">
        <v>16</v>
      </c>
      <c r="B14" s="10">
        <v>2</v>
      </c>
      <c r="C14" s="11">
        <v>0.1</v>
      </c>
      <c r="D14" s="9" t="s">
        <v>17</v>
      </c>
    </row>
    <row r="15" spans="1:15" ht="18" customHeight="1" x14ac:dyDescent="0.3">
      <c r="A15" s="9" t="s">
        <v>18</v>
      </c>
      <c r="B15" s="10">
        <v>2</v>
      </c>
      <c r="C15" s="11">
        <v>0.1</v>
      </c>
      <c r="D15" s="9" t="s">
        <v>333</v>
      </c>
    </row>
    <row r="16" spans="1:15" ht="18" customHeight="1" x14ac:dyDescent="0.3">
      <c r="A16" s="9" t="s">
        <v>19</v>
      </c>
      <c r="B16" s="10">
        <v>2</v>
      </c>
      <c r="C16" s="11">
        <v>0.1</v>
      </c>
      <c r="D16" s="9" t="s">
        <v>20</v>
      </c>
    </row>
    <row r="17" spans="1:15" ht="18" customHeight="1" x14ac:dyDescent="0.3">
      <c r="A17" s="9" t="s">
        <v>21</v>
      </c>
      <c r="B17" s="10">
        <v>6</v>
      </c>
      <c r="C17" s="11">
        <v>0.3</v>
      </c>
      <c r="D17" s="9" t="s">
        <v>22</v>
      </c>
    </row>
    <row r="18" spans="1:15" ht="18" customHeight="1" x14ac:dyDescent="0.3">
      <c r="A18" s="9" t="s">
        <v>23</v>
      </c>
      <c r="B18" s="10">
        <v>4</v>
      </c>
      <c r="C18" s="11">
        <v>0.2</v>
      </c>
      <c r="D18" s="9" t="s">
        <v>24</v>
      </c>
    </row>
    <row r="19" spans="1:15" ht="18" customHeight="1" x14ac:dyDescent="0.3">
      <c r="A19" s="9" t="s">
        <v>25</v>
      </c>
      <c r="B19" s="10">
        <v>1</v>
      </c>
      <c r="C19" s="11">
        <v>0.05</v>
      </c>
      <c r="D19" s="9" t="s">
        <v>26</v>
      </c>
    </row>
    <row r="21" spans="1:15" ht="7.5" customHeight="1" x14ac:dyDescent="0.3"/>
    <row r="22" spans="1:15" ht="21.75" customHeight="1" x14ac:dyDescent="0.3">
      <c r="A22" s="3" t="s">
        <v>334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21.75" customHeight="1" x14ac:dyDescent="0.3">
      <c r="A23" s="65" t="s">
        <v>27</v>
      </c>
      <c r="B23" s="65"/>
      <c r="C23" s="65"/>
      <c r="D23" s="65" t="s">
        <v>28</v>
      </c>
      <c r="E23" s="65"/>
      <c r="F23" s="65"/>
      <c r="G23" s="65" t="s">
        <v>29</v>
      </c>
      <c r="H23" s="65"/>
      <c r="I23" s="65"/>
      <c r="J23" s="65" t="s">
        <v>30</v>
      </c>
      <c r="K23" s="65"/>
      <c r="L23" s="65"/>
      <c r="M23" s="65" t="s">
        <v>31</v>
      </c>
      <c r="N23" s="65"/>
      <c r="O23" s="65"/>
    </row>
    <row r="24" spans="1:15" ht="21.75" customHeight="1" x14ac:dyDescent="0.3">
      <c r="A24" s="66">
        <f>'Onboarding Tracker'!B22</f>
        <v>15</v>
      </c>
      <c r="B24" s="66"/>
      <c r="C24" s="66"/>
      <c r="D24" s="66">
        <f>'Onboarding Tracker'!D22</f>
        <v>7</v>
      </c>
      <c r="E24" s="66"/>
      <c r="F24" s="66"/>
      <c r="G24" s="66">
        <f>'Onboarding Tracker'!F22</f>
        <v>7</v>
      </c>
      <c r="H24" s="66"/>
      <c r="I24" s="66"/>
      <c r="J24" s="66">
        <f>'Onboarding Tracker'!H22</f>
        <v>1</v>
      </c>
      <c r="K24" s="66"/>
      <c r="L24" s="66"/>
      <c r="M24" s="67">
        <f>'Onboarding Tracker'!J22</f>
        <v>0.46666666666666667</v>
      </c>
      <c r="N24" s="67"/>
      <c r="O24" s="67"/>
    </row>
    <row r="25" spans="1:15" ht="21.75" customHeight="1" x14ac:dyDescent="0.3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7"/>
      <c r="N25" s="67"/>
      <c r="O25" s="67"/>
    </row>
    <row r="26" spans="1:15" ht="21.75" customHeight="1" x14ac:dyDescent="0.3">
      <c r="A26" s="2" t="s">
        <v>32</v>
      </c>
      <c r="B26" s="2"/>
      <c r="C26" s="2"/>
      <c r="D26" s="2" t="s">
        <v>32</v>
      </c>
      <c r="E26" s="2"/>
      <c r="F26" s="2"/>
      <c r="G26" s="2" t="s">
        <v>32</v>
      </c>
      <c r="H26" s="2"/>
      <c r="I26" s="2"/>
      <c r="J26" s="2" t="s">
        <v>32</v>
      </c>
      <c r="K26" s="2"/>
      <c r="L26" s="2"/>
      <c r="M26" s="2" t="s">
        <v>33</v>
      </c>
      <c r="N26" s="2"/>
      <c r="O26" s="2"/>
    </row>
    <row r="27" spans="1:15" ht="7.5" customHeight="1" x14ac:dyDescent="0.3"/>
    <row r="28" spans="1:15" ht="19.5" customHeight="1" x14ac:dyDescent="0.3">
      <c r="A28" s="1" t="s">
        <v>335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7.6" customHeight="1" x14ac:dyDescent="0.3">
      <c r="A29" s="12" t="s">
        <v>34</v>
      </c>
      <c r="B29" s="12" t="s">
        <v>35</v>
      </c>
      <c r="C29" s="12" t="s">
        <v>36</v>
      </c>
      <c r="D29" s="12" t="s">
        <v>37</v>
      </c>
    </row>
    <row r="30" spans="1:15" ht="18" customHeight="1" x14ac:dyDescent="0.3">
      <c r="A30" s="9" t="s">
        <v>38</v>
      </c>
      <c r="B30" s="10">
        <v>15</v>
      </c>
      <c r="C30" s="11">
        <v>1</v>
      </c>
      <c r="D30" s="13" t="s">
        <v>39</v>
      </c>
    </row>
    <row r="31" spans="1:15" ht="18" customHeight="1" x14ac:dyDescent="0.3">
      <c r="A31" s="9" t="s">
        <v>40</v>
      </c>
      <c r="B31" s="10">
        <v>15</v>
      </c>
      <c r="C31" s="11">
        <v>1</v>
      </c>
      <c r="D31" s="13" t="s">
        <v>39</v>
      </c>
    </row>
    <row r="32" spans="1:15" ht="18" customHeight="1" x14ac:dyDescent="0.3">
      <c r="A32" s="9" t="s">
        <v>41</v>
      </c>
      <c r="B32" s="10">
        <v>15</v>
      </c>
      <c r="C32" s="11">
        <v>1</v>
      </c>
      <c r="D32" s="13" t="s">
        <v>39</v>
      </c>
    </row>
    <row r="33" spans="1:15" ht="18" customHeight="1" x14ac:dyDescent="0.3">
      <c r="A33" s="9" t="s">
        <v>42</v>
      </c>
      <c r="B33" s="10">
        <v>15</v>
      </c>
      <c r="C33" s="11">
        <v>1</v>
      </c>
      <c r="D33" s="13" t="s">
        <v>39</v>
      </c>
    </row>
    <row r="34" spans="1:15" ht="18" customHeight="1" x14ac:dyDescent="0.3">
      <c r="A34" s="9" t="s">
        <v>43</v>
      </c>
      <c r="B34" s="10">
        <v>14</v>
      </c>
      <c r="C34" s="11">
        <v>0.93333333333333302</v>
      </c>
      <c r="D34" s="13" t="s">
        <v>39</v>
      </c>
    </row>
    <row r="35" spans="1:15" ht="18" customHeight="1" x14ac:dyDescent="0.3">
      <c r="A35" s="9" t="s">
        <v>44</v>
      </c>
      <c r="B35" s="10">
        <v>14</v>
      </c>
      <c r="C35" s="11">
        <v>0.93333333333333302</v>
      </c>
      <c r="D35" s="13" t="s">
        <v>39</v>
      </c>
    </row>
    <row r="36" spans="1:15" ht="18" customHeight="1" x14ac:dyDescent="0.3">
      <c r="A36" s="9" t="s">
        <v>45</v>
      </c>
      <c r="B36" s="10">
        <v>10</v>
      </c>
      <c r="C36" s="11">
        <v>0.66666666666666696</v>
      </c>
      <c r="D36" s="14" t="s">
        <v>46</v>
      </c>
    </row>
    <row r="37" spans="1:15" ht="18" customHeight="1" x14ac:dyDescent="0.3">
      <c r="A37" s="9" t="s">
        <v>47</v>
      </c>
      <c r="B37" s="10">
        <v>6</v>
      </c>
      <c r="C37" s="11">
        <v>0.4</v>
      </c>
      <c r="D37" s="14" t="s">
        <v>46</v>
      </c>
    </row>
    <row r="39" spans="1:15" ht="7.5" customHeight="1" x14ac:dyDescent="0.3"/>
    <row r="40" spans="1:15" ht="21.75" customHeight="1" x14ac:dyDescent="0.3">
      <c r="A40" s="37" t="s">
        <v>336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</row>
    <row r="41" spans="1:15" ht="21.75" customHeight="1" x14ac:dyDescent="0.3">
      <c r="A41" s="68" t="s">
        <v>48</v>
      </c>
      <c r="B41" s="68"/>
      <c r="C41" s="68"/>
      <c r="D41" s="68" t="s">
        <v>49</v>
      </c>
      <c r="E41" s="68"/>
      <c r="F41" s="68"/>
      <c r="G41" s="68" t="s">
        <v>50</v>
      </c>
      <c r="H41" s="68"/>
      <c r="I41" s="68"/>
      <c r="J41" s="68" t="s">
        <v>51</v>
      </c>
      <c r="K41" s="68"/>
      <c r="L41" s="68"/>
      <c r="M41" s="68" t="s">
        <v>52</v>
      </c>
      <c r="N41" s="68"/>
      <c r="O41" s="68"/>
    </row>
    <row r="42" spans="1:15" ht="21.75" customHeight="1" x14ac:dyDescent="0.3">
      <c r="A42" s="69">
        <f>'Attrition Data'!B25</f>
        <v>18</v>
      </c>
      <c r="B42" s="69"/>
      <c r="C42" s="69"/>
      <c r="D42" s="69">
        <f>'Attrition Data'!D25</f>
        <v>14</v>
      </c>
      <c r="E42" s="69"/>
      <c r="F42" s="69"/>
      <c r="G42" s="69">
        <f>'Attrition Data'!F25</f>
        <v>4</v>
      </c>
      <c r="H42" s="69"/>
      <c r="I42" s="69"/>
      <c r="J42" s="70">
        <f>'Attrition Data'!H25</f>
        <v>29.444444444444443</v>
      </c>
      <c r="K42" s="70"/>
      <c r="L42" s="70"/>
      <c r="M42" s="69">
        <f>'Attrition Data'!J25</f>
        <v>15</v>
      </c>
      <c r="N42" s="69"/>
      <c r="O42" s="69"/>
    </row>
    <row r="43" spans="1:15" ht="21.75" customHeight="1" x14ac:dyDescent="0.3">
      <c r="A43" s="69"/>
      <c r="B43" s="69"/>
      <c r="C43" s="69"/>
      <c r="D43" s="69"/>
      <c r="E43" s="69"/>
      <c r="F43" s="69"/>
      <c r="G43" s="69"/>
      <c r="H43" s="69"/>
      <c r="I43" s="69"/>
      <c r="J43" s="70"/>
      <c r="K43" s="70"/>
      <c r="L43" s="70"/>
      <c r="M43" s="69"/>
      <c r="N43" s="69"/>
      <c r="O43" s="69"/>
    </row>
    <row r="44" spans="1:15" ht="21.75" customHeight="1" x14ac:dyDescent="0.3">
      <c r="A44" s="38" t="s">
        <v>53</v>
      </c>
      <c r="B44" s="38"/>
      <c r="C44" s="38"/>
      <c r="D44" s="38" t="s">
        <v>53</v>
      </c>
      <c r="E44" s="38"/>
      <c r="F44" s="38"/>
      <c r="G44" s="38" t="s">
        <v>53</v>
      </c>
      <c r="H44" s="38"/>
      <c r="I44" s="38"/>
      <c r="J44" s="38" t="s">
        <v>54</v>
      </c>
      <c r="K44" s="38"/>
      <c r="L44" s="38"/>
      <c r="M44" s="38" t="s">
        <v>53</v>
      </c>
      <c r="N44" s="38"/>
      <c r="O44" s="38"/>
    </row>
    <row r="45" spans="1:15" ht="7.5" customHeight="1" x14ac:dyDescent="0.3"/>
    <row r="46" spans="1:15" ht="19.5" customHeight="1" x14ac:dyDescent="0.3">
      <c r="A46" s="39" t="s">
        <v>55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</row>
    <row r="47" spans="1:15" ht="24.6" customHeight="1" x14ac:dyDescent="0.3">
      <c r="A47" s="15" t="s">
        <v>56</v>
      </c>
      <c r="B47" s="15" t="s">
        <v>57</v>
      </c>
      <c r="C47" s="15" t="s">
        <v>10</v>
      </c>
      <c r="D47" s="15" t="s">
        <v>58</v>
      </c>
    </row>
    <row r="48" spans="1:15" ht="18" customHeight="1" x14ac:dyDescent="0.3">
      <c r="A48" s="9" t="s">
        <v>59</v>
      </c>
      <c r="B48" s="10">
        <v>6</v>
      </c>
      <c r="C48" s="11">
        <v>0.28571428571428598</v>
      </c>
      <c r="D48" s="9" t="s">
        <v>60</v>
      </c>
    </row>
    <row r="49" spans="1:15" ht="18" customHeight="1" x14ac:dyDescent="0.3">
      <c r="A49" s="9" t="s">
        <v>61</v>
      </c>
      <c r="B49" s="10">
        <v>3</v>
      </c>
      <c r="C49" s="11">
        <v>0.14285714285714299</v>
      </c>
      <c r="D49" s="9" t="s">
        <v>62</v>
      </c>
    </row>
    <row r="50" spans="1:15" ht="18" customHeight="1" x14ac:dyDescent="0.3">
      <c r="A50" s="9" t="s">
        <v>63</v>
      </c>
      <c r="B50" s="10">
        <v>3</v>
      </c>
      <c r="C50" s="11">
        <v>0.14285714285714299</v>
      </c>
      <c r="D50" s="9" t="s">
        <v>64</v>
      </c>
    </row>
    <row r="51" spans="1:15" ht="18" customHeight="1" x14ac:dyDescent="0.3">
      <c r="A51" s="9" t="s">
        <v>65</v>
      </c>
      <c r="B51" s="10">
        <v>2</v>
      </c>
      <c r="C51" s="11">
        <v>9.5238095238095205E-2</v>
      </c>
      <c r="D51" s="9" t="s">
        <v>66</v>
      </c>
    </row>
    <row r="52" spans="1:15" ht="18" customHeight="1" x14ac:dyDescent="0.3">
      <c r="A52" s="9" t="s">
        <v>67</v>
      </c>
      <c r="B52" s="10">
        <v>2</v>
      </c>
      <c r="C52" s="11">
        <v>9.5238095238095205E-2</v>
      </c>
      <c r="D52" s="9" t="s">
        <v>68</v>
      </c>
    </row>
    <row r="53" spans="1:15" ht="18" customHeight="1" x14ac:dyDescent="0.3">
      <c r="A53" s="9" t="s">
        <v>69</v>
      </c>
      <c r="B53" s="10">
        <v>1</v>
      </c>
      <c r="C53" s="11">
        <v>4.7619047619047603E-2</v>
      </c>
      <c r="D53" s="9" t="s">
        <v>70</v>
      </c>
    </row>
    <row r="54" spans="1:15" ht="18" customHeight="1" x14ac:dyDescent="0.3">
      <c r="A54" s="9" t="s">
        <v>71</v>
      </c>
      <c r="B54" s="10">
        <v>1</v>
      </c>
      <c r="C54" s="11">
        <v>4.7619047619047603E-2</v>
      </c>
      <c r="D54" s="9" t="s">
        <v>72</v>
      </c>
    </row>
    <row r="55" spans="1:15" ht="18" customHeight="1" x14ac:dyDescent="0.3">
      <c r="A55" s="9" t="s">
        <v>73</v>
      </c>
      <c r="B55" s="10">
        <v>1</v>
      </c>
      <c r="C55" s="11">
        <v>4.7619047619047603E-2</v>
      </c>
      <c r="D55" s="9" t="s">
        <v>74</v>
      </c>
    </row>
    <row r="56" spans="1:15" ht="18" customHeight="1" x14ac:dyDescent="0.3">
      <c r="A56" s="9" t="s">
        <v>75</v>
      </c>
      <c r="B56" s="10">
        <v>2</v>
      </c>
      <c r="C56" s="11">
        <v>9.5238095238095205E-2</v>
      </c>
      <c r="D56" s="9" t="s">
        <v>76</v>
      </c>
    </row>
    <row r="58" spans="1:15" ht="7.5" customHeight="1" x14ac:dyDescent="0.3"/>
    <row r="59" spans="1:15" ht="19.5" customHeight="1" x14ac:dyDescent="0.3">
      <c r="A59" s="40" t="s">
        <v>77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</row>
    <row r="60" spans="1:15" ht="18" customHeight="1" x14ac:dyDescent="0.3">
      <c r="A60" s="16" t="s">
        <v>78</v>
      </c>
      <c r="B60" s="41" t="s">
        <v>79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</row>
    <row r="61" spans="1:15" ht="18" customHeight="1" x14ac:dyDescent="0.3">
      <c r="A61" s="16" t="s">
        <v>80</v>
      </c>
      <c r="B61" s="41" t="s">
        <v>81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</row>
    <row r="62" spans="1:15" ht="18" customHeight="1" x14ac:dyDescent="0.3">
      <c r="A62" s="16" t="s">
        <v>82</v>
      </c>
      <c r="B62" s="41" t="s">
        <v>83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</row>
    <row r="63" spans="1:15" ht="18" customHeight="1" x14ac:dyDescent="0.3">
      <c r="A63" s="16" t="s">
        <v>84</v>
      </c>
      <c r="B63" s="41" t="s">
        <v>85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</row>
    <row r="64" spans="1:15" ht="18" customHeight="1" x14ac:dyDescent="0.3">
      <c r="A64" s="16" t="s">
        <v>86</v>
      </c>
      <c r="B64" s="41" t="s">
        <v>87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</row>
  </sheetData>
  <mergeCells count="60">
    <mergeCell ref="B63:O63"/>
    <mergeCell ref="B64:O64"/>
    <mergeCell ref="D11:F11"/>
    <mergeCell ref="A46:O46"/>
    <mergeCell ref="A59:O59"/>
    <mergeCell ref="B60:O60"/>
    <mergeCell ref="B61:O61"/>
    <mergeCell ref="B62:O62"/>
    <mergeCell ref="A44:C44"/>
    <mergeCell ref="D44:F44"/>
    <mergeCell ref="G44:I44"/>
    <mergeCell ref="J44:L44"/>
    <mergeCell ref="M44:O44"/>
    <mergeCell ref="A42:C43"/>
    <mergeCell ref="D42:F43"/>
    <mergeCell ref="G42:I43"/>
    <mergeCell ref="J42:L43"/>
    <mergeCell ref="M42:O43"/>
    <mergeCell ref="A28:O28"/>
    <mergeCell ref="A40:O40"/>
    <mergeCell ref="A41:C41"/>
    <mergeCell ref="D41:F41"/>
    <mergeCell ref="G41:I41"/>
    <mergeCell ref="J41:L41"/>
    <mergeCell ref="M41:O41"/>
    <mergeCell ref="A26:C26"/>
    <mergeCell ref="D26:F26"/>
    <mergeCell ref="G26:I26"/>
    <mergeCell ref="J26:L26"/>
    <mergeCell ref="M26:O26"/>
    <mergeCell ref="A24:C25"/>
    <mergeCell ref="D24:F25"/>
    <mergeCell ref="G24:I25"/>
    <mergeCell ref="J24:L25"/>
    <mergeCell ref="M24:O25"/>
    <mergeCell ref="A10:O10"/>
    <mergeCell ref="A22:O22"/>
    <mergeCell ref="A23:C23"/>
    <mergeCell ref="D23:F23"/>
    <mergeCell ref="G23:I23"/>
    <mergeCell ref="J23:L23"/>
    <mergeCell ref="M23:O23"/>
    <mergeCell ref="A8:C8"/>
    <mergeCell ref="D8:F8"/>
    <mergeCell ref="G8:I8"/>
    <mergeCell ref="J8:L8"/>
    <mergeCell ref="M8:O8"/>
    <mergeCell ref="A6:C7"/>
    <mergeCell ref="D6:F7"/>
    <mergeCell ref="G6:I7"/>
    <mergeCell ref="J6:L7"/>
    <mergeCell ref="M6:O7"/>
    <mergeCell ref="A1:O1"/>
    <mergeCell ref="A2:O2"/>
    <mergeCell ref="A4:O4"/>
    <mergeCell ref="A5:C5"/>
    <mergeCell ref="D5:F5"/>
    <mergeCell ref="G5:I5"/>
    <mergeCell ref="J5:L5"/>
    <mergeCell ref="M5:O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N27"/>
  <sheetViews>
    <sheetView zoomScaleNormal="100" workbookViewId="0">
      <pane ySplit="3" topLeftCell="A20" activePane="bottomLeft" state="frozen"/>
      <selection pane="bottomLeft" activeCell="F27" sqref="F27"/>
    </sheetView>
  </sheetViews>
  <sheetFormatPr defaultColWidth="8.6640625" defaultRowHeight="14.4" x14ac:dyDescent="0.3"/>
  <cols>
    <col min="1" max="1" width="10" customWidth="1"/>
    <col min="2" max="2" width="20" customWidth="1"/>
    <col min="3" max="3" width="26" customWidth="1"/>
    <col min="4" max="5" width="18" customWidth="1"/>
    <col min="6" max="6" width="13" customWidth="1"/>
    <col min="7" max="7" width="16" customWidth="1"/>
    <col min="8" max="8" width="18" customWidth="1"/>
    <col min="9" max="11" width="13" customWidth="1"/>
    <col min="12" max="13" width="12" customWidth="1"/>
    <col min="14" max="14" width="28" customWidth="1"/>
  </cols>
  <sheetData>
    <row r="1" spans="1:14" ht="30" customHeight="1" x14ac:dyDescent="0.3">
      <c r="A1" s="51" t="s">
        <v>337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15.75" customHeight="1" x14ac:dyDescent="0.3">
      <c r="A2" s="43" t="s">
        <v>88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21.75" customHeight="1" x14ac:dyDescent="0.3">
      <c r="A3" s="17" t="s">
        <v>89</v>
      </c>
      <c r="B3" s="17" t="s">
        <v>90</v>
      </c>
      <c r="C3" s="17" t="s">
        <v>91</v>
      </c>
      <c r="D3" s="17" t="s">
        <v>56</v>
      </c>
      <c r="E3" s="17" t="s">
        <v>92</v>
      </c>
      <c r="F3" s="17" t="s">
        <v>93</v>
      </c>
      <c r="G3" s="17" t="s">
        <v>94</v>
      </c>
      <c r="H3" s="17" t="s">
        <v>95</v>
      </c>
      <c r="I3" s="17" t="s">
        <v>96</v>
      </c>
      <c r="J3" s="17" t="s">
        <v>97</v>
      </c>
      <c r="K3" s="17" t="s">
        <v>98</v>
      </c>
      <c r="L3" s="17" t="s">
        <v>99</v>
      </c>
      <c r="M3" s="17" t="s">
        <v>37</v>
      </c>
      <c r="N3" s="17" t="s">
        <v>100</v>
      </c>
    </row>
    <row r="4" spans="1:14" ht="18" customHeight="1" x14ac:dyDescent="0.3">
      <c r="A4" s="18" t="s">
        <v>101</v>
      </c>
      <c r="B4" s="18" t="s">
        <v>102</v>
      </c>
      <c r="C4" s="18" t="s">
        <v>103</v>
      </c>
      <c r="D4" s="18" t="s">
        <v>59</v>
      </c>
      <c r="E4" s="18" t="s">
        <v>104</v>
      </c>
      <c r="F4" s="19">
        <v>45662</v>
      </c>
      <c r="G4" s="20" t="s">
        <v>21</v>
      </c>
      <c r="H4" s="18" t="s">
        <v>105</v>
      </c>
      <c r="I4" s="19">
        <v>45672</v>
      </c>
      <c r="J4" s="19">
        <v>45682</v>
      </c>
      <c r="K4" s="19">
        <v>45689</v>
      </c>
      <c r="L4" s="21">
        <v>27</v>
      </c>
      <c r="M4" s="22" t="s">
        <v>106</v>
      </c>
      <c r="N4" s="18" t="s">
        <v>107</v>
      </c>
    </row>
    <row r="5" spans="1:14" ht="18" customHeight="1" x14ac:dyDescent="0.3">
      <c r="A5" s="23" t="s">
        <v>108</v>
      </c>
      <c r="B5" s="23" t="s">
        <v>109</v>
      </c>
      <c r="C5" s="23" t="s">
        <v>110</v>
      </c>
      <c r="D5" s="23" t="s">
        <v>61</v>
      </c>
      <c r="E5" s="23" t="s">
        <v>111</v>
      </c>
      <c r="F5" s="24">
        <v>45665</v>
      </c>
      <c r="G5" s="20" t="s">
        <v>21</v>
      </c>
      <c r="H5" s="23" t="s">
        <v>112</v>
      </c>
      <c r="I5" s="24">
        <v>45677</v>
      </c>
      <c r="J5" s="24">
        <v>45687</v>
      </c>
      <c r="K5" s="24">
        <v>45698</v>
      </c>
      <c r="L5" s="25">
        <v>33</v>
      </c>
      <c r="M5" s="22" t="s">
        <v>106</v>
      </c>
      <c r="N5" s="23" t="s">
        <v>113</v>
      </c>
    </row>
    <row r="6" spans="1:14" ht="18" customHeight="1" x14ac:dyDescent="0.3">
      <c r="A6" s="18" t="s">
        <v>114</v>
      </c>
      <c r="B6" s="18" t="s">
        <v>115</v>
      </c>
      <c r="C6" s="18" t="s">
        <v>116</v>
      </c>
      <c r="D6" s="18" t="s">
        <v>63</v>
      </c>
      <c r="E6" s="18" t="s">
        <v>117</v>
      </c>
      <c r="F6" s="19">
        <v>45667</v>
      </c>
      <c r="G6" s="26" t="s">
        <v>23</v>
      </c>
      <c r="H6" s="18" t="s">
        <v>118</v>
      </c>
      <c r="I6" s="19">
        <v>45679</v>
      </c>
      <c r="J6" s="18"/>
      <c r="K6" s="19">
        <v>45693</v>
      </c>
      <c r="L6" s="21">
        <v>26</v>
      </c>
      <c r="M6" s="22" t="s">
        <v>106</v>
      </c>
      <c r="N6" s="18" t="s">
        <v>119</v>
      </c>
    </row>
    <row r="7" spans="1:14" ht="18" customHeight="1" x14ac:dyDescent="0.3">
      <c r="A7" s="23" t="s">
        <v>120</v>
      </c>
      <c r="B7" s="23" t="s">
        <v>121</v>
      </c>
      <c r="C7" s="23" t="s">
        <v>122</v>
      </c>
      <c r="D7" s="23" t="s">
        <v>75</v>
      </c>
      <c r="E7" s="23" t="s">
        <v>104</v>
      </c>
      <c r="F7" s="24">
        <v>45672</v>
      </c>
      <c r="G7" s="27" t="s">
        <v>18</v>
      </c>
      <c r="H7" s="23" t="s">
        <v>123</v>
      </c>
      <c r="I7" s="24">
        <v>45698</v>
      </c>
      <c r="J7" s="23"/>
      <c r="K7" s="23"/>
      <c r="L7" s="28">
        <f>IFERROR(K7-F7,"-")</f>
        <v>-45672</v>
      </c>
      <c r="M7" s="16" t="s">
        <v>29</v>
      </c>
      <c r="N7" s="23" t="s">
        <v>124</v>
      </c>
    </row>
    <row r="8" spans="1:14" ht="18" customHeight="1" x14ac:dyDescent="0.3">
      <c r="A8" s="18" t="s">
        <v>125</v>
      </c>
      <c r="B8" s="18" t="s">
        <v>126</v>
      </c>
      <c r="C8" s="18" t="s">
        <v>127</v>
      </c>
      <c r="D8" s="18" t="s">
        <v>128</v>
      </c>
      <c r="E8" s="18" t="s">
        <v>129</v>
      </c>
      <c r="F8" s="19">
        <v>45675</v>
      </c>
      <c r="G8" s="20" t="s">
        <v>21</v>
      </c>
      <c r="H8" s="18" t="s">
        <v>130</v>
      </c>
      <c r="I8" s="19">
        <v>45685</v>
      </c>
      <c r="J8" s="19">
        <v>45693</v>
      </c>
      <c r="K8" s="19">
        <v>45703</v>
      </c>
      <c r="L8" s="21">
        <v>28</v>
      </c>
      <c r="M8" s="22" t="s">
        <v>106</v>
      </c>
      <c r="N8" s="18" t="s">
        <v>131</v>
      </c>
    </row>
    <row r="9" spans="1:14" ht="18" customHeight="1" x14ac:dyDescent="0.3">
      <c r="A9" s="23" t="s">
        <v>132</v>
      </c>
      <c r="B9" s="23" t="s">
        <v>133</v>
      </c>
      <c r="C9" s="23" t="s">
        <v>134</v>
      </c>
      <c r="D9" s="23" t="s">
        <v>67</v>
      </c>
      <c r="E9" s="23" t="s">
        <v>135</v>
      </c>
      <c r="F9" s="24">
        <v>45677</v>
      </c>
      <c r="G9" s="29" t="s">
        <v>19</v>
      </c>
      <c r="H9" s="23" t="s">
        <v>136</v>
      </c>
      <c r="I9" s="24">
        <v>45690</v>
      </c>
      <c r="J9" s="24">
        <v>45708</v>
      </c>
      <c r="K9" s="23"/>
      <c r="L9" s="28">
        <f>IFERROR(K9-F9,"-")</f>
        <v>-45677</v>
      </c>
      <c r="M9" s="16" t="s">
        <v>29</v>
      </c>
      <c r="N9" s="23" t="s">
        <v>137</v>
      </c>
    </row>
    <row r="10" spans="1:14" ht="18" customHeight="1" x14ac:dyDescent="0.3">
      <c r="A10" s="18" t="s">
        <v>138</v>
      </c>
      <c r="B10" s="18" t="s">
        <v>139</v>
      </c>
      <c r="C10" s="18" t="s">
        <v>140</v>
      </c>
      <c r="D10" s="18" t="s">
        <v>63</v>
      </c>
      <c r="E10" s="18" t="s">
        <v>104</v>
      </c>
      <c r="F10" s="19">
        <v>45679</v>
      </c>
      <c r="G10" s="30" t="s">
        <v>14</v>
      </c>
      <c r="H10" s="18" t="s">
        <v>118</v>
      </c>
      <c r="I10" s="19">
        <v>45693</v>
      </c>
      <c r="J10" s="18"/>
      <c r="K10" s="18"/>
      <c r="L10" s="31">
        <f>IFERROR(K10-F10,"-")</f>
        <v>-45679</v>
      </c>
      <c r="M10" s="16" t="s">
        <v>29</v>
      </c>
      <c r="N10" s="18" t="s">
        <v>141</v>
      </c>
    </row>
    <row r="11" spans="1:14" ht="18" customHeight="1" x14ac:dyDescent="0.3">
      <c r="A11" s="23" t="s">
        <v>142</v>
      </c>
      <c r="B11" s="23" t="s">
        <v>143</v>
      </c>
      <c r="C11" s="23" t="s">
        <v>144</v>
      </c>
      <c r="D11" s="23" t="s">
        <v>71</v>
      </c>
      <c r="E11" s="23" t="s">
        <v>111</v>
      </c>
      <c r="F11" s="24">
        <v>45682</v>
      </c>
      <c r="G11" s="32" t="s">
        <v>12</v>
      </c>
      <c r="H11" s="23" t="s">
        <v>145</v>
      </c>
      <c r="I11" s="23"/>
      <c r="J11" s="23"/>
      <c r="K11" s="23"/>
      <c r="L11" s="28">
        <f>IFERROR(K11-F11,"-")</f>
        <v>-45682</v>
      </c>
      <c r="M11" s="16" t="s">
        <v>29</v>
      </c>
      <c r="N11" s="23" t="s">
        <v>146</v>
      </c>
    </row>
    <row r="12" spans="1:14" ht="18" customHeight="1" x14ac:dyDescent="0.3">
      <c r="A12" s="18" t="s">
        <v>147</v>
      </c>
      <c r="B12" s="18" t="s">
        <v>148</v>
      </c>
      <c r="C12" s="18" t="s">
        <v>149</v>
      </c>
      <c r="D12" s="18" t="s">
        <v>59</v>
      </c>
      <c r="E12" s="18" t="s">
        <v>150</v>
      </c>
      <c r="F12" s="19">
        <v>45685</v>
      </c>
      <c r="G12" s="26" t="s">
        <v>23</v>
      </c>
      <c r="H12" s="18" t="s">
        <v>105</v>
      </c>
      <c r="I12" s="19">
        <v>45696</v>
      </c>
      <c r="J12" s="18"/>
      <c r="K12" s="19">
        <v>45703</v>
      </c>
      <c r="L12" s="21">
        <v>18</v>
      </c>
      <c r="M12" s="22" t="s">
        <v>106</v>
      </c>
      <c r="N12" s="18" t="s">
        <v>151</v>
      </c>
    </row>
    <row r="13" spans="1:14" ht="18" customHeight="1" x14ac:dyDescent="0.3">
      <c r="A13" s="23" t="s">
        <v>152</v>
      </c>
      <c r="B13" s="23" t="s">
        <v>153</v>
      </c>
      <c r="C13" s="23" t="s">
        <v>154</v>
      </c>
      <c r="D13" s="23" t="s">
        <v>73</v>
      </c>
      <c r="E13" s="23" t="s">
        <v>155</v>
      </c>
      <c r="F13" s="24">
        <v>45689</v>
      </c>
      <c r="G13" s="33" t="s">
        <v>16</v>
      </c>
      <c r="H13" s="23" t="s">
        <v>112</v>
      </c>
      <c r="I13" s="24">
        <v>45703</v>
      </c>
      <c r="J13" s="23"/>
      <c r="K13" s="23"/>
      <c r="L13" s="28">
        <f>IFERROR(K13-F13,"-")</f>
        <v>-45689</v>
      </c>
      <c r="M13" s="16" t="s">
        <v>29</v>
      </c>
      <c r="N13" s="23" t="s">
        <v>156</v>
      </c>
    </row>
    <row r="14" spans="1:14" ht="18" customHeight="1" x14ac:dyDescent="0.3">
      <c r="A14" s="18" t="s">
        <v>157</v>
      </c>
      <c r="B14" s="18" t="s">
        <v>158</v>
      </c>
      <c r="C14" s="18" t="s">
        <v>159</v>
      </c>
      <c r="D14" s="18" t="s">
        <v>59</v>
      </c>
      <c r="E14" s="18" t="s">
        <v>104</v>
      </c>
      <c r="F14" s="19">
        <v>45691</v>
      </c>
      <c r="G14" s="20" t="s">
        <v>21</v>
      </c>
      <c r="H14" s="18" t="s">
        <v>105</v>
      </c>
      <c r="I14" s="19">
        <v>45700</v>
      </c>
      <c r="J14" s="19">
        <v>45710</v>
      </c>
      <c r="K14" s="19">
        <v>45717</v>
      </c>
      <c r="L14" s="21">
        <v>26</v>
      </c>
      <c r="M14" s="22" t="s">
        <v>106</v>
      </c>
      <c r="N14" s="18" t="s">
        <v>160</v>
      </c>
    </row>
    <row r="15" spans="1:14" ht="18" customHeight="1" x14ac:dyDescent="0.3">
      <c r="A15" s="23" t="s">
        <v>161</v>
      </c>
      <c r="B15" s="23" t="s">
        <v>162</v>
      </c>
      <c r="C15" s="23" t="s">
        <v>163</v>
      </c>
      <c r="D15" s="23" t="s">
        <v>75</v>
      </c>
      <c r="E15" s="23" t="s">
        <v>111</v>
      </c>
      <c r="F15" s="24">
        <v>45693</v>
      </c>
      <c r="G15" s="34" t="s">
        <v>25</v>
      </c>
      <c r="H15" s="23" t="s">
        <v>123</v>
      </c>
      <c r="I15" s="24">
        <v>45703</v>
      </c>
      <c r="J15" s="23"/>
      <c r="K15" s="24">
        <v>45708</v>
      </c>
      <c r="L15" s="25">
        <v>15</v>
      </c>
      <c r="M15" s="22" t="s">
        <v>106</v>
      </c>
      <c r="N15" s="23" t="s">
        <v>164</v>
      </c>
    </row>
    <row r="16" spans="1:14" ht="18" customHeight="1" x14ac:dyDescent="0.3">
      <c r="A16" s="18" t="s">
        <v>165</v>
      </c>
      <c r="B16" s="18" t="s">
        <v>166</v>
      </c>
      <c r="C16" s="18" t="s">
        <v>167</v>
      </c>
      <c r="D16" s="18" t="s">
        <v>69</v>
      </c>
      <c r="E16" s="18" t="s">
        <v>104</v>
      </c>
      <c r="F16" s="19">
        <v>45696</v>
      </c>
      <c r="G16" s="30" t="s">
        <v>14</v>
      </c>
      <c r="H16" s="18" t="s">
        <v>118</v>
      </c>
      <c r="I16" s="19">
        <v>45713</v>
      </c>
      <c r="J16" s="18"/>
      <c r="K16" s="18"/>
      <c r="L16" s="31">
        <f>IFERROR(K16-F16,"-")</f>
        <v>-45696</v>
      </c>
      <c r="M16" s="16" t="s">
        <v>29</v>
      </c>
      <c r="N16" s="18" t="s">
        <v>168</v>
      </c>
    </row>
    <row r="17" spans="1:14" ht="18" customHeight="1" x14ac:dyDescent="0.3">
      <c r="A17" s="23" t="s">
        <v>169</v>
      </c>
      <c r="B17" s="23" t="s">
        <v>170</v>
      </c>
      <c r="C17" s="23" t="s">
        <v>171</v>
      </c>
      <c r="D17" s="23" t="s">
        <v>61</v>
      </c>
      <c r="E17" s="23" t="s">
        <v>111</v>
      </c>
      <c r="F17" s="24">
        <v>45698</v>
      </c>
      <c r="G17" s="27" t="s">
        <v>18</v>
      </c>
      <c r="H17" s="23" t="s">
        <v>112</v>
      </c>
      <c r="I17" s="24">
        <v>45716</v>
      </c>
      <c r="J17" s="23"/>
      <c r="K17" s="23"/>
      <c r="L17" s="28">
        <f>IFERROR(K17-F17,"-")</f>
        <v>-45698</v>
      </c>
      <c r="M17" s="16" t="s">
        <v>29</v>
      </c>
      <c r="N17" s="23" t="s">
        <v>172</v>
      </c>
    </row>
    <row r="18" spans="1:14" ht="18" customHeight="1" x14ac:dyDescent="0.3">
      <c r="A18" s="18" t="s">
        <v>173</v>
      </c>
      <c r="B18" s="18" t="s">
        <v>174</v>
      </c>
      <c r="C18" s="18" t="s">
        <v>175</v>
      </c>
      <c r="D18" s="18" t="s">
        <v>63</v>
      </c>
      <c r="E18" s="18" t="s">
        <v>117</v>
      </c>
      <c r="F18" s="19">
        <v>45700</v>
      </c>
      <c r="G18" s="20" t="s">
        <v>21</v>
      </c>
      <c r="H18" s="18" t="s">
        <v>130</v>
      </c>
      <c r="I18" s="19">
        <v>45710</v>
      </c>
      <c r="J18" s="19">
        <v>45720</v>
      </c>
      <c r="K18" s="19">
        <v>45731</v>
      </c>
      <c r="L18" s="21">
        <v>31</v>
      </c>
      <c r="M18" s="22" t="s">
        <v>106</v>
      </c>
      <c r="N18" s="18" t="s">
        <v>176</v>
      </c>
    </row>
    <row r="19" spans="1:14" ht="18" customHeight="1" x14ac:dyDescent="0.3">
      <c r="A19" s="23" t="s">
        <v>177</v>
      </c>
      <c r="B19" s="23" t="s">
        <v>178</v>
      </c>
      <c r="C19" s="23" t="s">
        <v>179</v>
      </c>
      <c r="D19" s="23" t="s">
        <v>59</v>
      </c>
      <c r="E19" s="23" t="s">
        <v>104</v>
      </c>
      <c r="F19" s="24">
        <v>45703</v>
      </c>
      <c r="G19" s="32" t="s">
        <v>12</v>
      </c>
      <c r="H19" s="23" t="s">
        <v>136</v>
      </c>
      <c r="I19" s="23"/>
      <c r="J19" s="23"/>
      <c r="K19" s="23"/>
      <c r="L19" s="28">
        <f>IFERROR(K19-F19,"-")</f>
        <v>-45703</v>
      </c>
      <c r="M19" s="16" t="s">
        <v>29</v>
      </c>
      <c r="N19" s="23" t="s">
        <v>180</v>
      </c>
    </row>
    <row r="20" spans="1:14" ht="18" customHeight="1" x14ac:dyDescent="0.3">
      <c r="A20" s="18" t="s">
        <v>181</v>
      </c>
      <c r="B20" s="18" t="s">
        <v>182</v>
      </c>
      <c r="C20" s="18" t="s">
        <v>183</v>
      </c>
      <c r="D20" s="18" t="s">
        <v>59</v>
      </c>
      <c r="E20" s="18" t="s">
        <v>184</v>
      </c>
      <c r="F20" s="19">
        <v>45706</v>
      </c>
      <c r="G20" s="26" t="s">
        <v>23</v>
      </c>
      <c r="H20" s="18" t="s">
        <v>105</v>
      </c>
      <c r="I20" s="19">
        <v>45716</v>
      </c>
      <c r="J20" s="18"/>
      <c r="K20" s="19">
        <v>45721</v>
      </c>
      <c r="L20" s="21">
        <v>15</v>
      </c>
      <c r="M20" s="22" t="s">
        <v>106</v>
      </c>
      <c r="N20" s="18" t="s">
        <v>185</v>
      </c>
    </row>
    <row r="21" spans="1:14" ht="18" customHeight="1" x14ac:dyDescent="0.3">
      <c r="A21" s="23" t="s">
        <v>186</v>
      </c>
      <c r="B21" s="23" t="s">
        <v>187</v>
      </c>
      <c r="C21" s="23" t="s">
        <v>188</v>
      </c>
      <c r="D21" s="23" t="s">
        <v>65</v>
      </c>
      <c r="E21" s="23" t="s">
        <v>104</v>
      </c>
      <c r="F21" s="24">
        <v>45708</v>
      </c>
      <c r="G21" s="29" t="s">
        <v>19</v>
      </c>
      <c r="H21" s="23" t="s">
        <v>123</v>
      </c>
      <c r="I21" s="24">
        <v>45721</v>
      </c>
      <c r="J21" s="24">
        <v>45734</v>
      </c>
      <c r="K21" s="23"/>
      <c r="L21" s="28">
        <f>IFERROR(K21-F21,"-")</f>
        <v>-45708</v>
      </c>
      <c r="M21" s="16" t="s">
        <v>29</v>
      </c>
      <c r="N21" s="23" t="s">
        <v>189</v>
      </c>
    </row>
    <row r="22" spans="1:14" ht="18" customHeight="1" x14ac:dyDescent="0.3">
      <c r="A22" s="18" t="s">
        <v>190</v>
      </c>
      <c r="B22" s="18" t="s">
        <v>191</v>
      </c>
      <c r="C22" s="18" t="s">
        <v>192</v>
      </c>
      <c r="D22" s="18" t="s">
        <v>61</v>
      </c>
      <c r="E22" s="18" t="s">
        <v>111</v>
      </c>
      <c r="F22" s="19">
        <v>45710</v>
      </c>
      <c r="G22" s="30" t="s">
        <v>14</v>
      </c>
      <c r="H22" s="18" t="s">
        <v>112</v>
      </c>
      <c r="I22" s="19">
        <v>45726</v>
      </c>
      <c r="J22" s="18"/>
      <c r="K22" s="18"/>
      <c r="L22" s="31">
        <f>IFERROR(K22-F22,"-")</f>
        <v>-45710</v>
      </c>
      <c r="M22" s="16" t="s">
        <v>29</v>
      </c>
      <c r="N22" s="18" t="s">
        <v>193</v>
      </c>
    </row>
    <row r="23" spans="1:14" ht="18" customHeight="1" x14ac:dyDescent="0.3">
      <c r="A23" s="23" t="s">
        <v>194</v>
      </c>
      <c r="B23" s="23" t="s">
        <v>195</v>
      </c>
      <c r="C23" s="23" t="s">
        <v>196</v>
      </c>
      <c r="D23" s="23" t="s">
        <v>67</v>
      </c>
      <c r="E23" s="23" t="s">
        <v>197</v>
      </c>
      <c r="F23" s="24">
        <v>45713</v>
      </c>
      <c r="G23" s="33" t="s">
        <v>16</v>
      </c>
      <c r="H23" s="23" t="s">
        <v>136</v>
      </c>
      <c r="I23" s="24">
        <v>45724</v>
      </c>
      <c r="J23" s="23"/>
      <c r="K23" s="23"/>
      <c r="L23" s="28">
        <f>IFERROR(K23-F23,"-")</f>
        <v>-45713</v>
      </c>
      <c r="M23" s="16" t="s">
        <v>29</v>
      </c>
      <c r="N23" s="23" t="s">
        <v>198</v>
      </c>
    </row>
    <row r="25" spans="1:14" ht="7.5" customHeight="1" x14ac:dyDescent="0.3"/>
    <row r="26" spans="1:14" ht="19.5" customHeight="1" x14ac:dyDescent="0.3">
      <c r="A26" s="50" t="s">
        <v>1</v>
      </c>
      <c r="B26" s="50"/>
      <c r="C26" s="50" t="s">
        <v>21</v>
      </c>
      <c r="D26" s="50"/>
      <c r="E26" s="50" t="s">
        <v>23</v>
      </c>
      <c r="F26" s="50"/>
      <c r="G26" s="50" t="s">
        <v>29</v>
      </c>
      <c r="H26" s="50"/>
      <c r="I26" s="50" t="s">
        <v>199</v>
      </c>
      <c r="J26" s="50"/>
    </row>
    <row r="27" spans="1:14" ht="30" customHeight="1" x14ac:dyDescent="0.3">
      <c r="A27" s="35"/>
      <c r="B27" s="35">
        <f>COUNTA(A4:A23)</f>
        <v>20</v>
      </c>
      <c r="C27" s="35"/>
      <c r="D27" s="35">
        <f>COUNTIF(G4:G23,"Hired")</f>
        <v>5</v>
      </c>
      <c r="E27" s="52"/>
      <c r="F27" s="52">
        <f>COUNTIF(G4:G23,"Rejected")</f>
        <v>3</v>
      </c>
      <c r="G27" s="52"/>
      <c r="H27" s="52">
        <f>COUNTIF(M4:M23,"In Progress")</f>
        <v>11</v>
      </c>
      <c r="I27" s="53"/>
      <c r="J27" s="53">
        <f>IFERROR(AVERAGEIF(M4:M23,"Closed",L4:L23),"N/A")</f>
        <v>24.333333333333332</v>
      </c>
    </row>
  </sheetData>
  <mergeCells count="7">
    <mergeCell ref="A1:N1"/>
    <mergeCell ref="A2:N2"/>
    <mergeCell ref="A26:B26"/>
    <mergeCell ref="C26:D26"/>
    <mergeCell ref="E26:F26"/>
    <mergeCell ref="G26:H26"/>
    <mergeCell ref="I26:J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276"/>
  </sheetPr>
  <dimension ref="A1:O22"/>
  <sheetViews>
    <sheetView showGridLines="0" zoomScaleNormal="100" workbookViewId="0">
      <pane ySplit="3" topLeftCell="A11" activePane="bottomLeft" state="frozen"/>
      <selection pane="bottomLeft" activeCell="B22" sqref="B22"/>
    </sheetView>
  </sheetViews>
  <sheetFormatPr defaultColWidth="8.6640625" defaultRowHeight="14.4" x14ac:dyDescent="0.3"/>
  <cols>
    <col min="1" max="1" width="8" customWidth="1"/>
    <col min="2" max="2" width="20" customWidth="1"/>
    <col min="3" max="3" width="18" customWidth="1"/>
    <col min="4" max="4" width="24" customWidth="1"/>
    <col min="5" max="5" width="14" customWidth="1"/>
    <col min="6" max="6" width="16" customWidth="1"/>
    <col min="7" max="7" width="9" customWidth="1"/>
    <col min="8" max="8" width="13" customWidth="1"/>
    <col min="9" max="9" width="12" customWidth="1"/>
    <col min="10" max="10" width="15" customWidth="1"/>
    <col min="11" max="11" width="12" customWidth="1"/>
    <col min="12" max="12" width="17.44140625" customWidth="1"/>
    <col min="13" max="13" width="18.21875" customWidth="1"/>
    <col min="14" max="14" width="18" customWidth="1"/>
    <col min="15" max="15" width="19.6640625" customWidth="1"/>
  </cols>
  <sheetData>
    <row r="1" spans="1:15" ht="30" customHeight="1" x14ac:dyDescent="0.3">
      <c r="A1" s="44" t="s">
        <v>338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5" ht="15.75" customHeight="1" x14ac:dyDescent="0.3">
      <c r="A2" s="45" t="s">
        <v>200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21.75" customHeight="1" x14ac:dyDescent="0.3">
      <c r="A3" s="12" t="s">
        <v>201</v>
      </c>
      <c r="B3" s="12" t="s">
        <v>202</v>
      </c>
      <c r="C3" s="12" t="s">
        <v>56</v>
      </c>
      <c r="D3" s="12" t="s">
        <v>203</v>
      </c>
      <c r="E3" s="12" t="s">
        <v>204</v>
      </c>
      <c r="F3" s="12" t="s">
        <v>205</v>
      </c>
      <c r="G3" s="12" t="s">
        <v>38</v>
      </c>
      <c r="H3" s="12" t="s">
        <v>40</v>
      </c>
      <c r="I3" s="12" t="s">
        <v>41</v>
      </c>
      <c r="J3" s="12" t="s">
        <v>42</v>
      </c>
      <c r="K3" s="12" t="s">
        <v>43</v>
      </c>
      <c r="L3" s="12" t="s">
        <v>44</v>
      </c>
      <c r="M3" s="12" t="s">
        <v>45</v>
      </c>
      <c r="N3" s="12" t="s">
        <v>47</v>
      </c>
      <c r="O3" s="12" t="s">
        <v>206</v>
      </c>
    </row>
    <row r="4" spans="1:15" ht="18" customHeight="1" x14ac:dyDescent="0.3">
      <c r="A4" s="18" t="s">
        <v>207</v>
      </c>
      <c r="B4" s="18" t="s">
        <v>102</v>
      </c>
      <c r="C4" s="18" t="s">
        <v>59</v>
      </c>
      <c r="D4" s="18" t="s">
        <v>103</v>
      </c>
      <c r="E4" s="19">
        <v>45689</v>
      </c>
      <c r="F4" s="18" t="s">
        <v>105</v>
      </c>
      <c r="G4" s="13" t="s">
        <v>208</v>
      </c>
      <c r="H4" s="13" t="s">
        <v>208</v>
      </c>
      <c r="I4" s="13" t="s">
        <v>208</v>
      </c>
      <c r="J4" s="13" t="s">
        <v>208</v>
      </c>
      <c r="K4" s="13" t="s">
        <v>208</v>
      </c>
      <c r="L4" s="13" t="s">
        <v>208</v>
      </c>
      <c r="M4" s="13" t="s">
        <v>208</v>
      </c>
      <c r="N4" s="13" t="s">
        <v>208</v>
      </c>
      <c r="O4" s="33" t="s">
        <v>209</v>
      </c>
    </row>
    <row r="5" spans="1:15" ht="18" customHeight="1" x14ac:dyDescent="0.3">
      <c r="A5" s="23" t="s">
        <v>210</v>
      </c>
      <c r="B5" s="23" t="s">
        <v>109</v>
      </c>
      <c r="C5" s="23" t="s">
        <v>61</v>
      </c>
      <c r="D5" s="23" t="s">
        <v>110</v>
      </c>
      <c r="E5" s="24">
        <v>45698</v>
      </c>
      <c r="F5" s="23" t="s">
        <v>112</v>
      </c>
      <c r="G5" s="13" t="s">
        <v>208</v>
      </c>
      <c r="H5" s="13" t="s">
        <v>208</v>
      </c>
      <c r="I5" s="13" t="s">
        <v>208</v>
      </c>
      <c r="J5" s="13" t="s">
        <v>208</v>
      </c>
      <c r="K5" s="13" t="s">
        <v>208</v>
      </c>
      <c r="L5" s="13" t="s">
        <v>208</v>
      </c>
      <c r="M5" s="14" t="s">
        <v>211</v>
      </c>
      <c r="N5" s="36" t="s">
        <v>212</v>
      </c>
      <c r="O5" s="32" t="s">
        <v>29</v>
      </c>
    </row>
    <row r="6" spans="1:15" ht="18" customHeight="1" x14ac:dyDescent="0.3">
      <c r="A6" s="18" t="s">
        <v>213</v>
      </c>
      <c r="B6" s="18" t="s">
        <v>126</v>
      </c>
      <c r="C6" s="18" t="s">
        <v>128</v>
      </c>
      <c r="D6" s="18" t="s">
        <v>127</v>
      </c>
      <c r="E6" s="19">
        <v>45703</v>
      </c>
      <c r="F6" s="18" t="s">
        <v>130</v>
      </c>
      <c r="G6" s="13" t="s">
        <v>208</v>
      </c>
      <c r="H6" s="13" t="s">
        <v>208</v>
      </c>
      <c r="I6" s="13" t="s">
        <v>208</v>
      </c>
      <c r="J6" s="13" t="s">
        <v>208</v>
      </c>
      <c r="K6" s="13" t="s">
        <v>208</v>
      </c>
      <c r="L6" s="13" t="s">
        <v>208</v>
      </c>
      <c r="M6" s="14" t="s">
        <v>211</v>
      </c>
      <c r="N6" s="36" t="s">
        <v>212</v>
      </c>
      <c r="O6" s="32" t="s">
        <v>29</v>
      </c>
    </row>
    <row r="7" spans="1:15" ht="18" customHeight="1" x14ac:dyDescent="0.3">
      <c r="A7" s="23" t="s">
        <v>214</v>
      </c>
      <c r="B7" s="23" t="s">
        <v>158</v>
      </c>
      <c r="C7" s="23" t="s">
        <v>59</v>
      </c>
      <c r="D7" s="23" t="s">
        <v>159</v>
      </c>
      <c r="E7" s="24">
        <v>45717</v>
      </c>
      <c r="F7" s="23" t="s">
        <v>105</v>
      </c>
      <c r="G7" s="13" t="s">
        <v>208</v>
      </c>
      <c r="H7" s="13" t="s">
        <v>208</v>
      </c>
      <c r="I7" s="13" t="s">
        <v>208</v>
      </c>
      <c r="J7" s="13" t="s">
        <v>208</v>
      </c>
      <c r="K7" s="14" t="s">
        <v>211</v>
      </c>
      <c r="L7" s="36" t="s">
        <v>212</v>
      </c>
      <c r="M7" s="36" t="s">
        <v>212</v>
      </c>
      <c r="N7" s="36" t="s">
        <v>212</v>
      </c>
      <c r="O7" s="32" t="s">
        <v>29</v>
      </c>
    </row>
    <row r="8" spans="1:15" ht="18" customHeight="1" x14ac:dyDescent="0.3">
      <c r="A8" s="18" t="s">
        <v>215</v>
      </c>
      <c r="B8" s="18" t="s">
        <v>174</v>
      </c>
      <c r="C8" s="18" t="s">
        <v>63</v>
      </c>
      <c r="D8" s="18" t="s">
        <v>175</v>
      </c>
      <c r="E8" s="19">
        <v>45731</v>
      </c>
      <c r="F8" s="18" t="s">
        <v>118</v>
      </c>
      <c r="G8" s="13" t="s">
        <v>208</v>
      </c>
      <c r="H8" s="13" t="s">
        <v>208</v>
      </c>
      <c r="I8" s="13" t="s">
        <v>208</v>
      </c>
      <c r="J8" s="13" t="s">
        <v>208</v>
      </c>
      <c r="K8" s="14" t="s">
        <v>211</v>
      </c>
      <c r="L8" s="36" t="s">
        <v>212</v>
      </c>
      <c r="M8" s="36" t="s">
        <v>212</v>
      </c>
      <c r="N8" s="36" t="s">
        <v>212</v>
      </c>
      <c r="O8" s="32" t="s">
        <v>29</v>
      </c>
    </row>
    <row r="9" spans="1:15" ht="18" customHeight="1" x14ac:dyDescent="0.3">
      <c r="A9" s="23" t="s">
        <v>216</v>
      </c>
      <c r="B9" s="23" t="s">
        <v>162</v>
      </c>
      <c r="C9" s="23" t="s">
        <v>75</v>
      </c>
      <c r="D9" s="23" t="s">
        <v>163</v>
      </c>
      <c r="E9" s="24">
        <v>45597</v>
      </c>
      <c r="F9" s="23" t="s">
        <v>123</v>
      </c>
      <c r="G9" s="13" t="s">
        <v>208</v>
      </c>
      <c r="H9" s="13" t="s">
        <v>208</v>
      </c>
      <c r="I9" s="13" t="s">
        <v>208</v>
      </c>
      <c r="J9" s="13" t="s">
        <v>208</v>
      </c>
      <c r="K9" s="13" t="s">
        <v>208</v>
      </c>
      <c r="L9" s="13" t="s">
        <v>208</v>
      </c>
      <c r="M9" s="13" t="s">
        <v>208</v>
      </c>
      <c r="N9" s="13" t="s">
        <v>208</v>
      </c>
      <c r="O9" s="33" t="s">
        <v>209</v>
      </c>
    </row>
    <row r="10" spans="1:15" ht="18" customHeight="1" x14ac:dyDescent="0.3">
      <c r="A10" s="18" t="s">
        <v>217</v>
      </c>
      <c r="B10" s="18" t="s">
        <v>170</v>
      </c>
      <c r="C10" s="18" t="s">
        <v>61</v>
      </c>
      <c r="D10" s="18" t="s">
        <v>171</v>
      </c>
      <c r="E10" s="19">
        <v>45611</v>
      </c>
      <c r="F10" s="18" t="s">
        <v>112</v>
      </c>
      <c r="G10" s="13" t="s">
        <v>208</v>
      </c>
      <c r="H10" s="13" t="s">
        <v>208</v>
      </c>
      <c r="I10" s="13" t="s">
        <v>208</v>
      </c>
      <c r="J10" s="13" t="s">
        <v>208</v>
      </c>
      <c r="K10" s="13" t="s">
        <v>208</v>
      </c>
      <c r="L10" s="13" t="s">
        <v>208</v>
      </c>
      <c r="M10" s="13" t="s">
        <v>208</v>
      </c>
      <c r="N10" s="13" t="s">
        <v>208</v>
      </c>
      <c r="O10" s="33" t="s">
        <v>209</v>
      </c>
    </row>
    <row r="11" spans="1:15" ht="18" customHeight="1" x14ac:dyDescent="0.3">
      <c r="A11" s="23" t="s">
        <v>218</v>
      </c>
      <c r="B11" s="23" t="s">
        <v>219</v>
      </c>
      <c r="C11" s="23" t="s">
        <v>67</v>
      </c>
      <c r="D11" s="23" t="s">
        <v>134</v>
      </c>
      <c r="E11" s="24">
        <v>45627</v>
      </c>
      <c r="F11" s="23" t="s">
        <v>136</v>
      </c>
      <c r="G11" s="13" t="s">
        <v>208</v>
      </c>
      <c r="H11" s="13" t="s">
        <v>208</v>
      </c>
      <c r="I11" s="13" t="s">
        <v>208</v>
      </c>
      <c r="J11" s="13" t="s">
        <v>208</v>
      </c>
      <c r="K11" s="13" t="s">
        <v>208</v>
      </c>
      <c r="L11" s="13" t="s">
        <v>208</v>
      </c>
      <c r="M11" s="13" t="s">
        <v>208</v>
      </c>
      <c r="N11" s="13" t="s">
        <v>208</v>
      </c>
      <c r="O11" s="33" t="s">
        <v>209</v>
      </c>
    </row>
    <row r="12" spans="1:15" ht="18" customHeight="1" x14ac:dyDescent="0.3">
      <c r="A12" s="18" t="s">
        <v>220</v>
      </c>
      <c r="B12" s="18" t="s">
        <v>191</v>
      </c>
      <c r="C12" s="18" t="s">
        <v>61</v>
      </c>
      <c r="D12" s="18" t="s">
        <v>192</v>
      </c>
      <c r="E12" s="19">
        <v>45636</v>
      </c>
      <c r="F12" s="18" t="s">
        <v>112</v>
      </c>
      <c r="G12" s="13" t="s">
        <v>208</v>
      </c>
      <c r="H12" s="13" t="s">
        <v>208</v>
      </c>
      <c r="I12" s="13" t="s">
        <v>208</v>
      </c>
      <c r="J12" s="13" t="s">
        <v>208</v>
      </c>
      <c r="K12" s="13" t="s">
        <v>208</v>
      </c>
      <c r="L12" s="13" t="s">
        <v>208</v>
      </c>
      <c r="M12" s="13" t="s">
        <v>208</v>
      </c>
      <c r="N12" s="36" t="s">
        <v>212</v>
      </c>
      <c r="O12" s="32" t="s">
        <v>29</v>
      </c>
    </row>
    <row r="13" spans="1:15" ht="18" customHeight="1" x14ac:dyDescent="0.3">
      <c r="A13" s="23" t="s">
        <v>221</v>
      </c>
      <c r="B13" s="23" t="s">
        <v>195</v>
      </c>
      <c r="C13" s="23" t="s">
        <v>67</v>
      </c>
      <c r="D13" s="23" t="s">
        <v>196</v>
      </c>
      <c r="E13" s="24">
        <v>45662</v>
      </c>
      <c r="F13" s="23" t="s">
        <v>136</v>
      </c>
      <c r="G13" s="13" t="s">
        <v>208</v>
      </c>
      <c r="H13" s="13" t="s">
        <v>208</v>
      </c>
      <c r="I13" s="13" t="s">
        <v>208</v>
      </c>
      <c r="J13" s="13" t="s">
        <v>208</v>
      </c>
      <c r="K13" s="13" t="s">
        <v>208</v>
      </c>
      <c r="L13" s="13" t="s">
        <v>208</v>
      </c>
      <c r="M13" s="13" t="s">
        <v>208</v>
      </c>
      <c r="N13" s="13" t="s">
        <v>208</v>
      </c>
      <c r="O13" s="33" t="s">
        <v>209</v>
      </c>
    </row>
    <row r="14" spans="1:15" ht="18" customHeight="1" x14ac:dyDescent="0.3">
      <c r="A14" s="18" t="s">
        <v>222</v>
      </c>
      <c r="B14" s="18" t="s">
        <v>166</v>
      </c>
      <c r="C14" s="18" t="s">
        <v>69</v>
      </c>
      <c r="D14" s="18" t="s">
        <v>167</v>
      </c>
      <c r="E14" s="19">
        <v>45667</v>
      </c>
      <c r="F14" s="18" t="s">
        <v>118</v>
      </c>
      <c r="G14" s="13" t="s">
        <v>208</v>
      </c>
      <c r="H14" s="13" t="s">
        <v>208</v>
      </c>
      <c r="I14" s="13" t="s">
        <v>208</v>
      </c>
      <c r="J14" s="13" t="s">
        <v>208</v>
      </c>
      <c r="K14" s="13" t="s">
        <v>208</v>
      </c>
      <c r="L14" s="13" t="s">
        <v>208</v>
      </c>
      <c r="M14" s="13" t="s">
        <v>208</v>
      </c>
      <c r="N14" s="14" t="s">
        <v>211</v>
      </c>
      <c r="O14" s="32" t="s">
        <v>29</v>
      </c>
    </row>
    <row r="15" spans="1:15" ht="18" customHeight="1" x14ac:dyDescent="0.3">
      <c r="A15" s="23" t="s">
        <v>223</v>
      </c>
      <c r="B15" s="23" t="s">
        <v>153</v>
      </c>
      <c r="C15" s="23" t="s">
        <v>73</v>
      </c>
      <c r="D15" s="23" t="s">
        <v>154</v>
      </c>
      <c r="E15" s="24">
        <v>45677</v>
      </c>
      <c r="F15" s="23" t="s">
        <v>145</v>
      </c>
      <c r="G15" s="13" t="s">
        <v>208</v>
      </c>
      <c r="H15" s="13" t="s">
        <v>208</v>
      </c>
      <c r="I15" s="13" t="s">
        <v>208</v>
      </c>
      <c r="J15" s="13" t="s">
        <v>208</v>
      </c>
      <c r="K15" s="13" t="s">
        <v>208</v>
      </c>
      <c r="L15" s="13" t="s">
        <v>208</v>
      </c>
      <c r="M15" s="14" t="s">
        <v>211</v>
      </c>
      <c r="N15" s="36" t="s">
        <v>212</v>
      </c>
      <c r="O15" s="32" t="s">
        <v>29</v>
      </c>
    </row>
    <row r="16" spans="1:15" ht="18" customHeight="1" x14ac:dyDescent="0.3">
      <c r="A16" s="18" t="s">
        <v>224</v>
      </c>
      <c r="B16" s="18" t="s">
        <v>182</v>
      </c>
      <c r="C16" s="18" t="s">
        <v>59</v>
      </c>
      <c r="D16" s="18" t="s">
        <v>225</v>
      </c>
      <c r="E16" s="19">
        <v>45566</v>
      </c>
      <c r="F16" s="18" t="s">
        <v>105</v>
      </c>
      <c r="G16" s="13" t="s">
        <v>208</v>
      </c>
      <c r="H16" s="13" t="s">
        <v>208</v>
      </c>
      <c r="I16" s="13" t="s">
        <v>208</v>
      </c>
      <c r="J16" s="13" t="s">
        <v>208</v>
      </c>
      <c r="K16" s="13" t="s">
        <v>208</v>
      </c>
      <c r="L16" s="13" t="s">
        <v>208</v>
      </c>
      <c r="M16" s="13" t="s">
        <v>208</v>
      </c>
      <c r="N16" s="13" t="s">
        <v>208</v>
      </c>
      <c r="O16" s="33" t="s">
        <v>209</v>
      </c>
    </row>
    <row r="17" spans="1:15" ht="18" customHeight="1" x14ac:dyDescent="0.3">
      <c r="A17" s="23" t="s">
        <v>226</v>
      </c>
      <c r="B17" s="23" t="s">
        <v>187</v>
      </c>
      <c r="C17" s="23" t="s">
        <v>65</v>
      </c>
      <c r="D17" s="23" t="s">
        <v>188</v>
      </c>
      <c r="E17" s="24">
        <v>45580</v>
      </c>
      <c r="F17" s="23" t="s">
        <v>123</v>
      </c>
      <c r="G17" s="13" t="s">
        <v>208</v>
      </c>
      <c r="H17" s="13" t="s">
        <v>208</v>
      </c>
      <c r="I17" s="13" t="s">
        <v>208</v>
      </c>
      <c r="J17" s="13" t="s">
        <v>208</v>
      </c>
      <c r="K17" s="13" t="s">
        <v>208</v>
      </c>
      <c r="L17" s="13" t="s">
        <v>208</v>
      </c>
      <c r="M17" s="13" t="s">
        <v>208</v>
      </c>
      <c r="N17" s="13" t="s">
        <v>208</v>
      </c>
      <c r="O17" s="33" t="s">
        <v>209</v>
      </c>
    </row>
    <row r="18" spans="1:15" ht="18" customHeight="1" x14ac:dyDescent="0.3">
      <c r="A18" s="18" t="s">
        <v>227</v>
      </c>
      <c r="B18" s="18" t="s">
        <v>178</v>
      </c>
      <c r="C18" s="18" t="s">
        <v>59</v>
      </c>
      <c r="D18" s="18" t="s">
        <v>179</v>
      </c>
      <c r="E18" s="19">
        <v>45748</v>
      </c>
      <c r="F18" s="18" t="s">
        <v>136</v>
      </c>
      <c r="G18" s="36" t="s">
        <v>212</v>
      </c>
      <c r="H18" s="36" t="s">
        <v>212</v>
      </c>
      <c r="I18" s="36" t="s">
        <v>212</v>
      </c>
      <c r="J18" s="36" t="s">
        <v>212</v>
      </c>
      <c r="K18" s="36" t="s">
        <v>212</v>
      </c>
      <c r="L18" s="36" t="s">
        <v>212</v>
      </c>
      <c r="M18" s="36" t="s">
        <v>212</v>
      </c>
      <c r="N18" s="36" t="s">
        <v>212</v>
      </c>
      <c r="O18" s="26" t="s">
        <v>30</v>
      </c>
    </row>
    <row r="20" spans="1:15" ht="7.5" customHeight="1" x14ac:dyDescent="0.3"/>
    <row r="21" spans="1:15" ht="19.5" customHeight="1" x14ac:dyDescent="0.3">
      <c r="A21" s="50" t="s">
        <v>27</v>
      </c>
      <c r="B21" s="50"/>
      <c r="C21" s="50" t="s">
        <v>209</v>
      </c>
      <c r="D21" s="50"/>
      <c r="E21" s="50" t="s">
        <v>29</v>
      </c>
      <c r="F21" s="50"/>
      <c r="G21" s="50" t="s">
        <v>30</v>
      </c>
      <c r="H21" s="50"/>
      <c r="I21" s="50" t="s">
        <v>31</v>
      </c>
      <c r="J21" s="50"/>
    </row>
    <row r="22" spans="1:15" ht="30" customHeight="1" x14ac:dyDescent="0.3">
      <c r="A22" s="59"/>
      <c r="B22" s="60">
        <f>COUNTA(A4:A18)</f>
        <v>15</v>
      </c>
      <c r="C22" s="59"/>
      <c r="D22" s="59">
        <f>COUNTIF(O4:O18,"Complete")</f>
        <v>7</v>
      </c>
      <c r="E22" s="59"/>
      <c r="F22" s="59">
        <f>COUNTIF(O4:O18,"In Progress")</f>
        <v>7</v>
      </c>
      <c r="G22" s="59"/>
      <c r="H22" s="59">
        <f>COUNTIF(O4:O18,"Not Started")</f>
        <v>1</v>
      </c>
      <c r="I22" s="61"/>
      <c r="J22" s="61">
        <f>IFERROR(COUNTIF(O4:O18,"Complete")/COUNTA(O4:O18),0)</f>
        <v>0.46666666666666667</v>
      </c>
    </row>
  </sheetData>
  <mergeCells count="7">
    <mergeCell ref="A1:O1"/>
    <mergeCell ref="A2:O2"/>
    <mergeCell ref="A21:B21"/>
    <mergeCell ref="C21:D21"/>
    <mergeCell ref="E21:F21"/>
    <mergeCell ref="G21:H21"/>
    <mergeCell ref="I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241C"/>
  </sheetPr>
  <dimension ref="A1:M25"/>
  <sheetViews>
    <sheetView zoomScaleNormal="100" workbookViewId="0">
      <pane ySplit="3" topLeftCell="A18" activePane="bottomLeft" state="frozen"/>
      <selection pane="bottomLeft" activeCell="J25" sqref="J25"/>
    </sheetView>
  </sheetViews>
  <sheetFormatPr defaultColWidth="8.6640625" defaultRowHeight="14.4" x14ac:dyDescent="0.3"/>
  <cols>
    <col min="1" max="1" width="8" customWidth="1"/>
    <col min="2" max="2" width="20" customWidth="1"/>
    <col min="3" max="3" width="18" customWidth="1"/>
    <col min="4" max="4" width="24" customWidth="1"/>
    <col min="5" max="7" width="14" customWidth="1"/>
    <col min="8" max="8" width="12" customWidth="1"/>
    <col min="9" max="10" width="22" customWidth="1"/>
    <col min="11" max="11" width="20.21875" customWidth="1"/>
    <col min="12" max="12" width="14" customWidth="1"/>
    <col min="13" max="13" width="22" customWidth="1"/>
  </cols>
  <sheetData>
    <row r="1" spans="1:13" ht="30" customHeight="1" x14ac:dyDescent="0.3">
      <c r="A1" s="46" t="s">
        <v>339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15.75" customHeight="1" x14ac:dyDescent="0.3">
      <c r="A2" s="47" t="s">
        <v>228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21.75" customHeight="1" x14ac:dyDescent="0.3">
      <c r="A3" s="15" t="s">
        <v>229</v>
      </c>
      <c r="B3" s="15" t="s">
        <v>202</v>
      </c>
      <c r="C3" s="15" t="s">
        <v>56</v>
      </c>
      <c r="D3" s="15" t="s">
        <v>203</v>
      </c>
      <c r="E3" s="15" t="s">
        <v>204</v>
      </c>
      <c r="F3" s="15" t="s">
        <v>230</v>
      </c>
      <c r="G3" s="15" t="s">
        <v>231</v>
      </c>
      <c r="H3" s="15" t="s">
        <v>232</v>
      </c>
      <c r="I3" s="15" t="s">
        <v>233</v>
      </c>
      <c r="J3" s="15" t="s">
        <v>234</v>
      </c>
      <c r="K3" s="15" t="s">
        <v>235</v>
      </c>
      <c r="L3" s="15" t="s">
        <v>236</v>
      </c>
      <c r="M3" s="15" t="s">
        <v>100</v>
      </c>
    </row>
    <row r="4" spans="1:13" ht="18" customHeight="1" x14ac:dyDescent="0.3">
      <c r="A4" s="18" t="s">
        <v>237</v>
      </c>
      <c r="B4" s="18" t="s">
        <v>238</v>
      </c>
      <c r="C4" s="18" t="s">
        <v>59</v>
      </c>
      <c r="D4" s="18" t="s">
        <v>225</v>
      </c>
      <c r="E4" s="19">
        <v>44713</v>
      </c>
      <c r="F4" s="19">
        <v>45504</v>
      </c>
      <c r="G4" s="31">
        <v>26</v>
      </c>
      <c r="H4" s="32" t="s">
        <v>49</v>
      </c>
      <c r="I4" s="18" t="s">
        <v>74</v>
      </c>
      <c r="J4" s="18" t="s">
        <v>239</v>
      </c>
      <c r="K4" s="18" t="s">
        <v>240</v>
      </c>
      <c r="L4" s="18" t="s">
        <v>241</v>
      </c>
      <c r="M4" s="18" t="s">
        <v>242</v>
      </c>
    </row>
    <row r="5" spans="1:13" ht="18" customHeight="1" x14ac:dyDescent="0.3">
      <c r="A5" s="23" t="s">
        <v>243</v>
      </c>
      <c r="B5" s="23" t="s">
        <v>244</v>
      </c>
      <c r="C5" s="23" t="s">
        <v>61</v>
      </c>
      <c r="D5" s="23" t="s">
        <v>245</v>
      </c>
      <c r="E5" s="24">
        <v>44454</v>
      </c>
      <c r="F5" s="24">
        <v>45519</v>
      </c>
      <c r="G5" s="28">
        <v>47</v>
      </c>
      <c r="H5" s="32" t="s">
        <v>49</v>
      </c>
      <c r="I5" s="23" t="s">
        <v>246</v>
      </c>
      <c r="J5" s="23" t="s">
        <v>247</v>
      </c>
      <c r="K5" s="23" t="s">
        <v>240</v>
      </c>
      <c r="L5" s="23" t="s">
        <v>248</v>
      </c>
      <c r="M5" s="23" t="s">
        <v>249</v>
      </c>
    </row>
    <row r="6" spans="1:13" ht="18" customHeight="1" x14ac:dyDescent="0.3">
      <c r="A6" s="18" t="s">
        <v>250</v>
      </c>
      <c r="B6" s="18" t="s">
        <v>251</v>
      </c>
      <c r="C6" s="18" t="s">
        <v>63</v>
      </c>
      <c r="D6" s="18" t="s">
        <v>252</v>
      </c>
      <c r="E6" s="19">
        <v>44936</v>
      </c>
      <c r="F6" s="19">
        <v>45535</v>
      </c>
      <c r="G6" s="31">
        <v>20</v>
      </c>
      <c r="H6" s="32" t="s">
        <v>49</v>
      </c>
      <c r="I6" s="18" t="s">
        <v>74</v>
      </c>
      <c r="J6" s="18" t="s">
        <v>253</v>
      </c>
      <c r="K6" s="18" t="s">
        <v>240</v>
      </c>
      <c r="L6" s="18" t="s">
        <v>254</v>
      </c>
      <c r="M6" s="18" t="s">
        <v>255</v>
      </c>
    </row>
    <row r="7" spans="1:13" ht="18" customHeight="1" x14ac:dyDescent="0.3">
      <c r="A7" s="23" t="s">
        <v>256</v>
      </c>
      <c r="B7" s="23" t="s">
        <v>105</v>
      </c>
      <c r="C7" s="23" t="s">
        <v>128</v>
      </c>
      <c r="D7" s="23" t="s">
        <v>257</v>
      </c>
      <c r="E7" s="24">
        <v>43922</v>
      </c>
      <c r="F7" s="24">
        <v>45550</v>
      </c>
      <c r="G7" s="28">
        <v>65</v>
      </c>
      <c r="H7" s="26" t="s">
        <v>50</v>
      </c>
      <c r="I7" s="23" t="s">
        <v>258</v>
      </c>
      <c r="J7" s="23" t="s">
        <v>259</v>
      </c>
      <c r="K7" s="23" t="s">
        <v>240</v>
      </c>
      <c r="L7" s="23" t="s">
        <v>260</v>
      </c>
      <c r="M7" s="23" t="s">
        <v>261</v>
      </c>
    </row>
    <row r="8" spans="1:13" ht="18" customHeight="1" x14ac:dyDescent="0.3">
      <c r="A8" s="18" t="s">
        <v>262</v>
      </c>
      <c r="B8" s="18" t="s">
        <v>263</v>
      </c>
      <c r="C8" s="18" t="s">
        <v>65</v>
      </c>
      <c r="D8" s="18" t="s">
        <v>264</v>
      </c>
      <c r="E8" s="19">
        <v>44990</v>
      </c>
      <c r="F8" s="19">
        <v>45565</v>
      </c>
      <c r="G8" s="31">
        <v>19</v>
      </c>
      <c r="H8" s="32" t="s">
        <v>49</v>
      </c>
      <c r="I8" s="18" t="s">
        <v>265</v>
      </c>
      <c r="J8" s="18" t="s">
        <v>266</v>
      </c>
      <c r="K8" s="18" t="s">
        <v>240</v>
      </c>
      <c r="L8" s="18" t="s">
        <v>241</v>
      </c>
      <c r="M8" s="18" t="s">
        <v>267</v>
      </c>
    </row>
    <row r="9" spans="1:13" ht="18" customHeight="1" x14ac:dyDescent="0.3">
      <c r="A9" s="23" t="s">
        <v>268</v>
      </c>
      <c r="B9" s="23" t="s">
        <v>269</v>
      </c>
      <c r="C9" s="23" t="s">
        <v>67</v>
      </c>
      <c r="D9" s="23" t="s">
        <v>270</v>
      </c>
      <c r="E9" s="24">
        <v>44866</v>
      </c>
      <c r="F9" s="24">
        <v>45575</v>
      </c>
      <c r="G9" s="28">
        <v>23</v>
      </c>
      <c r="H9" s="32" t="s">
        <v>49</v>
      </c>
      <c r="I9" s="23" t="s">
        <v>74</v>
      </c>
      <c r="J9" s="23" t="s">
        <v>271</v>
      </c>
      <c r="K9" s="23" t="s">
        <v>272</v>
      </c>
      <c r="L9" s="23" t="s">
        <v>254</v>
      </c>
      <c r="M9" s="23" t="s">
        <v>273</v>
      </c>
    </row>
    <row r="10" spans="1:13" ht="18" customHeight="1" x14ac:dyDescent="0.3">
      <c r="A10" s="18" t="s">
        <v>274</v>
      </c>
      <c r="B10" s="18" t="s">
        <v>275</v>
      </c>
      <c r="C10" s="18" t="s">
        <v>59</v>
      </c>
      <c r="D10" s="18" t="s">
        <v>276</v>
      </c>
      <c r="E10" s="19">
        <v>45078</v>
      </c>
      <c r="F10" s="19">
        <v>45596</v>
      </c>
      <c r="G10" s="31">
        <v>17</v>
      </c>
      <c r="H10" s="32" t="s">
        <v>49</v>
      </c>
      <c r="I10" s="18" t="s">
        <v>277</v>
      </c>
      <c r="J10" s="18" t="s">
        <v>247</v>
      </c>
      <c r="K10" s="18" t="s">
        <v>240</v>
      </c>
      <c r="L10" s="18" t="s">
        <v>278</v>
      </c>
      <c r="M10" s="18" t="s">
        <v>279</v>
      </c>
    </row>
    <row r="11" spans="1:13" ht="18" customHeight="1" x14ac:dyDescent="0.3">
      <c r="A11" s="23" t="s">
        <v>280</v>
      </c>
      <c r="B11" s="23" t="s">
        <v>281</v>
      </c>
      <c r="C11" s="23" t="s">
        <v>71</v>
      </c>
      <c r="D11" s="23" t="s">
        <v>282</v>
      </c>
      <c r="E11" s="24">
        <v>44423</v>
      </c>
      <c r="F11" s="24">
        <v>45611</v>
      </c>
      <c r="G11" s="28">
        <v>39</v>
      </c>
      <c r="H11" s="26" t="s">
        <v>50</v>
      </c>
      <c r="I11" s="23" t="s">
        <v>72</v>
      </c>
      <c r="J11" s="23" t="s">
        <v>283</v>
      </c>
      <c r="K11" s="23" t="s">
        <v>240</v>
      </c>
      <c r="L11" s="23" t="s">
        <v>241</v>
      </c>
      <c r="M11" s="23" t="s">
        <v>284</v>
      </c>
    </row>
    <row r="12" spans="1:13" ht="18" customHeight="1" x14ac:dyDescent="0.3">
      <c r="A12" s="18" t="s">
        <v>285</v>
      </c>
      <c r="B12" s="18" t="s">
        <v>286</v>
      </c>
      <c r="C12" s="18" t="s">
        <v>73</v>
      </c>
      <c r="D12" s="18" t="s">
        <v>287</v>
      </c>
      <c r="E12" s="19">
        <v>44562</v>
      </c>
      <c r="F12" s="19">
        <v>45626</v>
      </c>
      <c r="G12" s="31">
        <v>35</v>
      </c>
      <c r="H12" s="32" t="s">
        <v>49</v>
      </c>
      <c r="I12" s="18" t="s">
        <v>74</v>
      </c>
      <c r="J12" s="18" t="s">
        <v>271</v>
      </c>
      <c r="K12" s="18" t="s">
        <v>240</v>
      </c>
      <c r="L12" s="18" t="s">
        <v>254</v>
      </c>
      <c r="M12" s="18" t="s">
        <v>288</v>
      </c>
    </row>
    <row r="13" spans="1:13" ht="18" customHeight="1" x14ac:dyDescent="0.3">
      <c r="A13" s="23" t="s">
        <v>289</v>
      </c>
      <c r="B13" s="23" t="s">
        <v>290</v>
      </c>
      <c r="C13" s="23" t="s">
        <v>59</v>
      </c>
      <c r="D13" s="23" t="s">
        <v>291</v>
      </c>
      <c r="E13" s="24">
        <v>45170</v>
      </c>
      <c r="F13" s="24">
        <v>45641</v>
      </c>
      <c r="G13" s="28">
        <v>16</v>
      </c>
      <c r="H13" s="32" t="s">
        <v>49</v>
      </c>
      <c r="I13" s="23" t="s">
        <v>266</v>
      </c>
      <c r="J13" s="23" t="s">
        <v>292</v>
      </c>
      <c r="K13" s="23" t="s">
        <v>240</v>
      </c>
      <c r="L13" s="23" t="s">
        <v>241</v>
      </c>
      <c r="M13" s="23" t="s">
        <v>293</v>
      </c>
    </row>
    <row r="14" spans="1:13" ht="18" customHeight="1" x14ac:dyDescent="0.3">
      <c r="A14" s="18" t="s">
        <v>294</v>
      </c>
      <c r="B14" s="18" t="s">
        <v>295</v>
      </c>
      <c r="C14" s="18" t="s">
        <v>69</v>
      </c>
      <c r="D14" s="18" t="s">
        <v>296</v>
      </c>
      <c r="E14" s="19">
        <v>44743</v>
      </c>
      <c r="F14" s="19">
        <v>45667</v>
      </c>
      <c r="G14" s="31">
        <v>30</v>
      </c>
      <c r="H14" s="32" t="s">
        <v>49</v>
      </c>
      <c r="I14" s="18" t="s">
        <v>74</v>
      </c>
      <c r="J14" s="18" t="s">
        <v>297</v>
      </c>
      <c r="K14" s="18" t="s">
        <v>240</v>
      </c>
      <c r="L14" s="18" t="s">
        <v>248</v>
      </c>
      <c r="M14" s="18" t="s">
        <v>298</v>
      </c>
    </row>
    <row r="15" spans="1:13" ht="18" customHeight="1" x14ac:dyDescent="0.3">
      <c r="A15" s="23" t="s">
        <v>299</v>
      </c>
      <c r="B15" s="23" t="s">
        <v>300</v>
      </c>
      <c r="C15" s="23" t="s">
        <v>75</v>
      </c>
      <c r="D15" s="23" t="s">
        <v>301</v>
      </c>
      <c r="E15" s="24">
        <v>45200</v>
      </c>
      <c r="F15" s="24">
        <v>45688</v>
      </c>
      <c r="G15" s="28">
        <v>16</v>
      </c>
      <c r="H15" s="32" t="s">
        <v>49</v>
      </c>
      <c r="I15" s="23" t="s">
        <v>76</v>
      </c>
      <c r="J15" s="23" t="s">
        <v>239</v>
      </c>
      <c r="K15" s="23" t="s">
        <v>272</v>
      </c>
      <c r="L15" s="23" t="s">
        <v>241</v>
      </c>
      <c r="M15" s="23" t="s">
        <v>302</v>
      </c>
    </row>
    <row r="16" spans="1:13" ht="18" customHeight="1" x14ac:dyDescent="0.3">
      <c r="A16" s="18" t="s">
        <v>303</v>
      </c>
      <c r="B16" s="18" t="s">
        <v>304</v>
      </c>
      <c r="C16" s="18" t="s">
        <v>63</v>
      </c>
      <c r="D16" s="18" t="s">
        <v>305</v>
      </c>
      <c r="E16" s="19">
        <v>44270</v>
      </c>
      <c r="F16" s="19">
        <v>45702</v>
      </c>
      <c r="G16" s="31">
        <v>47</v>
      </c>
      <c r="H16" s="26" t="s">
        <v>50</v>
      </c>
      <c r="I16" s="18" t="s">
        <v>258</v>
      </c>
      <c r="J16" s="18" t="s">
        <v>306</v>
      </c>
      <c r="K16" s="64" t="s">
        <v>272</v>
      </c>
      <c r="L16" s="18" t="s">
        <v>307</v>
      </c>
      <c r="M16" s="18" t="s">
        <v>308</v>
      </c>
    </row>
    <row r="17" spans="1:13" ht="18" customHeight="1" x14ac:dyDescent="0.3">
      <c r="A17" s="23" t="s">
        <v>309</v>
      </c>
      <c r="B17" s="23" t="s">
        <v>310</v>
      </c>
      <c r="C17" s="23" t="s">
        <v>61</v>
      </c>
      <c r="D17" s="23" t="s">
        <v>311</v>
      </c>
      <c r="E17" s="24">
        <v>44682</v>
      </c>
      <c r="F17" s="24">
        <v>45716</v>
      </c>
      <c r="G17" s="28">
        <v>33</v>
      </c>
      <c r="H17" s="32" t="s">
        <v>49</v>
      </c>
      <c r="I17" s="23" t="s">
        <v>246</v>
      </c>
      <c r="J17" s="23" t="s">
        <v>312</v>
      </c>
      <c r="K17" s="23" t="s">
        <v>240</v>
      </c>
      <c r="L17" s="23" t="s">
        <v>241</v>
      </c>
      <c r="M17" s="23" t="s">
        <v>313</v>
      </c>
    </row>
    <row r="18" spans="1:13" ht="18" customHeight="1" x14ac:dyDescent="0.3">
      <c r="A18" s="18" t="s">
        <v>314</v>
      </c>
      <c r="B18" s="18" t="s">
        <v>315</v>
      </c>
      <c r="C18" s="18" t="s">
        <v>59</v>
      </c>
      <c r="D18" s="18" t="s">
        <v>225</v>
      </c>
      <c r="E18" s="19">
        <v>45296</v>
      </c>
      <c r="F18" s="19">
        <v>45731</v>
      </c>
      <c r="G18" s="31">
        <v>14</v>
      </c>
      <c r="H18" s="32" t="s">
        <v>49</v>
      </c>
      <c r="I18" s="18" t="s">
        <v>74</v>
      </c>
      <c r="J18" s="18" t="s">
        <v>253</v>
      </c>
      <c r="K18" s="18" t="s">
        <v>240</v>
      </c>
      <c r="L18" s="18" t="s">
        <v>316</v>
      </c>
      <c r="M18" s="18" t="s">
        <v>317</v>
      </c>
    </row>
    <row r="19" spans="1:13" ht="18" customHeight="1" x14ac:dyDescent="0.3">
      <c r="A19" s="23" t="s">
        <v>318</v>
      </c>
      <c r="B19" s="23" t="s">
        <v>319</v>
      </c>
      <c r="C19" s="23" t="s">
        <v>67</v>
      </c>
      <c r="D19" s="23" t="s">
        <v>196</v>
      </c>
      <c r="E19" s="24">
        <v>44958</v>
      </c>
      <c r="F19" s="24">
        <v>45747</v>
      </c>
      <c r="G19" s="28">
        <v>26</v>
      </c>
      <c r="H19" s="32" t="s">
        <v>49</v>
      </c>
      <c r="I19" s="23" t="s">
        <v>76</v>
      </c>
      <c r="J19" s="23" t="s">
        <v>271</v>
      </c>
      <c r="K19" s="23" t="s">
        <v>240</v>
      </c>
      <c r="L19" s="23" t="s">
        <v>241</v>
      </c>
      <c r="M19" s="23" t="s">
        <v>320</v>
      </c>
    </row>
    <row r="20" spans="1:13" ht="18" customHeight="1" x14ac:dyDescent="0.3">
      <c r="A20" s="18" t="s">
        <v>321</v>
      </c>
      <c r="B20" s="18" t="s">
        <v>322</v>
      </c>
      <c r="C20" s="18" t="s">
        <v>65</v>
      </c>
      <c r="D20" s="18" t="s">
        <v>323</v>
      </c>
      <c r="E20" s="19">
        <v>44788</v>
      </c>
      <c r="F20" s="19">
        <v>45762</v>
      </c>
      <c r="G20" s="31">
        <v>32</v>
      </c>
      <c r="H20" s="26" t="s">
        <v>50</v>
      </c>
      <c r="I20" s="18" t="s">
        <v>72</v>
      </c>
      <c r="J20" s="18" t="s">
        <v>324</v>
      </c>
      <c r="K20" s="18" t="s">
        <v>240</v>
      </c>
      <c r="L20" s="18" t="s">
        <v>260</v>
      </c>
      <c r="M20" s="18" t="s">
        <v>325</v>
      </c>
    </row>
    <row r="21" spans="1:13" ht="18" customHeight="1" x14ac:dyDescent="0.3">
      <c r="A21" s="23" t="s">
        <v>326</v>
      </c>
      <c r="B21" s="23" t="s">
        <v>327</v>
      </c>
      <c r="C21" s="23" t="s">
        <v>59</v>
      </c>
      <c r="D21" s="23" t="s">
        <v>127</v>
      </c>
      <c r="E21" s="24">
        <v>45017</v>
      </c>
      <c r="F21" s="24">
        <v>45777</v>
      </c>
      <c r="G21" s="28">
        <v>25</v>
      </c>
      <c r="H21" s="32" t="s">
        <v>49</v>
      </c>
      <c r="I21" s="23" t="s">
        <v>277</v>
      </c>
      <c r="J21" s="23" t="s">
        <v>265</v>
      </c>
      <c r="K21" s="23" t="s">
        <v>240</v>
      </c>
      <c r="L21" s="23" t="s">
        <v>241</v>
      </c>
      <c r="M21" s="23" t="s">
        <v>328</v>
      </c>
    </row>
    <row r="23" spans="1:13" ht="7.5" customHeight="1" x14ac:dyDescent="0.3"/>
    <row r="24" spans="1:13" ht="19.5" customHeight="1" x14ac:dyDescent="0.3">
      <c r="A24" s="50" t="s">
        <v>329</v>
      </c>
      <c r="B24" s="50"/>
      <c r="C24" s="50" t="s">
        <v>49</v>
      </c>
      <c r="D24" s="50"/>
      <c r="E24" s="50" t="s">
        <v>50</v>
      </c>
      <c r="F24" s="50"/>
      <c r="G24" s="50" t="s">
        <v>330</v>
      </c>
      <c r="H24" s="50"/>
      <c r="I24" s="50" t="s">
        <v>235</v>
      </c>
      <c r="J24" s="50"/>
    </row>
    <row r="25" spans="1:13" ht="30" customHeight="1" x14ac:dyDescent="0.3">
      <c r="A25" s="62"/>
      <c r="B25" s="62">
        <f>COUNTA(A4:A21)</f>
        <v>18</v>
      </c>
      <c r="C25" s="62"/>
      <c r="D25" s="62">
        <f>COUNTIF(H4:H21,"Voluntary")</f>
        <v>14</v>
      </c>
      <c r="E25" s="62"/>
      <c r="F25" s="62">
        <f>COUNTIF(H4:H21,"Involuntary")</f>
        <v>4</v>
      </c>
      <c r="G25" s="63"/>
      <c r="H25" s="63">
        <f>AVERAGE(G4:G21)</f>
        <v>29.444444444444443</v>
      </c>
      <c r="I25" s="62"/>
      <c r="J25" s="62">
        <f>COUNTIF(K4:K21,"Yes")</f>
        <v>15</v>
      </c>
    </row>
  </sheetData>
  <mergeCells count="7">
    <mergeCell ref="A1:M1"/>
    <mergeCell ref="A2:M2"/>
    <mergeCell ref="A24:B24"/>
    <mergeCell ref="C24:D24"/>
    <mergeCell ref="E24:F24"/>
    <mergeCell ref="G24:H24"/>
    <mergeCell ref="I24:J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 Dashboard</vt:lpstr>
      <vt:lpstr>Recruitment Pipeline</vt:lpstr>
      <vt:lpstr>Onboarding Tracker</vt:lpstr>
      <vt:lpstr>Attrition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Avik Bal</cp:lastModifiedBy>
  <cp:revision>0</cp:revision>
  <cp:lastPrinted>2026-03-27T06:38:24Z</cp:lastPrinted>
  <dcterms:created xsi:type="dcterms:W3CDTF">2026-03-27T06:14:01Z</dcterms:created>
  <dcterms:modified xsi:type="dcterms:W3CDTF">2026-03-27T06:38:37Z</dcterms:modified>
  <dc:language>en-US</dc:language>
</cp:coreProperties>
</file>